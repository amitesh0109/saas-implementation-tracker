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Dashboard" sheetId="1" r:id="rId4"/>
    <sheet state="visible" name="🗂 Customers" sheetId="2" r:id="rId5"/>
    <sheet state="visible" name="🏁 Milestones" sheetId="3" r:id="rId6"/>
    <sheet state="visible" name="✅ Action Items" sheetId="4" r:id="rId7"/>
    <sheet state="visible" name="📈 Progress" sheetId="5" r:id="rId8"/>
    <sheet state="visible" name="📖 How To Use" sheetId="6" r:id="rId9"/>
  </sheets>
  <definedNames/>
  <calcPr/>
  <extLst>
    <ext uri="GoogleSheetsCustomDataVersion2">
      <go:sheetsCustomData xmlns:go="http://customooxmlschemas.google.com/" r:id="rId10" roundtripDataChecksum="PfLeJ0izyikVMl/XulhGbvv5bbh+ub7FacvItn9++GY="/>
    </ext>
  </extLst>
</workbook>
</file>

<file path=xl/sharedStrings.xml><?xml version="1.0" encoding="utf-8"?>
<sst xmlns="http://schemas.openxmlformats.org/spreadsheetml/2006/main" count="278" uniqueCount="146">
  <si>
    <t>Implementation Tracker Dashboard</t>
  </si>
  <si>
    <t>All data pulled live from Customers, Milestones &amp; Action Items sheets  |  Built by Amitesh Anirudhan</t>
  </si>
  <si>
    <t>Total Customers</t>
  </si>
  <si>
    <t>Active Implementations</t>
  </si>
  <si>
    <t>Avg. Progress</t>
  </si>
  <si>
    <t>Overdue Actions</t>
  </si>
  <si>
    <t xml:space="preserve">    CUSTOMER OVERVIEW — Live from all sheets</t>
  </si>
  <si>
    <t>Customer</t>
  </si>
  <si>
    <t>Stage</t>
  </si>
  <si>
    <t>Go-Live</t>
  </si>
  <si>
    <t>Milestones Done</t>
  </si>
  <si>
    <t>Actions Open</t>
  </si>
  <si>
    <t>Overall %</t>
  </si>
  <si>
    <t>CSM Owner</t>
  </si>
  <si>
    <t xml:space="preserve">  CUSTOMER REGISTRY - Master List (all other sheets pull from here)</t>
  </si>
  <si>
    <t>Customer Name</t>
  </si>
  <si>
    <t>Contract Start</t>
  </si>
  <si>
    <t>Go-Live Target</t>
  </si>
  <si>
    <t>Implementation Type</t>
  </si>
  <si>
    <t>Tech Contact</t>
  </si>
  <si>
    <t>Notes</t>
  </si>
  <si>
    <t>Sunrise Senior Living</t>
  </si>
  <si>
    <t>2025-03-01</t>
  </si>
  <si>
    <t>2025-08-15</t>
  </si>
  <si>
    <t>Full Implementation</t>
  </si>
  <si>
    <t>Configuration</t>
  </si>
  <si>
    <t>Amitesh A.</t>
  </si>
  <si>
    <t>John Smith</t>
  </si>
  <si>
    <t>On track</t>
  </si>
  <si>
    <t>Brightview Communities</t>
  </si>
  <si>
    <t>2025-03-15</t>
  </si>
  <si>
    <t>2025-09-01</t>
  </si>
  <si>
    <t>Data Migration</t>
  </si>
  <si>
    <t>Sarah Lee</t>
  </si>
  <si>
    <t>Data delay</t>
  </si>
  <si>
    <t>Atria Senior Living</t>
  </si>
  <si>
    <t>2025-02-01</t>
  </si>
  <si>
    <t>2025-07-30</t>
  </si>
  <si>
    <t>Training</t>
  </si>
  <si>
    <t>Mike Brown</t>
  </si>
  <si>
    <t>Training May</t>
  </si>
  <si>
    <t>Brookdale Senior</t>
  </si>
  <si>
    <t>2025-04-01</t>
  </si>
  <si>
    <t>2025-10-01</t>
  </si>
  <si>
    <t>Integration Only</t>
  </si>
  <si>
    <t>Discovery</t>
  </si>
  <si>
    <t>Emily Davis</t>
  </si>
  <si>
    <t>Kickoff done</t>
  </si>
  <si>
    <t xml:space="preserve">  IMPLEMENTATION MILESTONES - Add customer name (dropdown from Customers sheet)</t>
  </si>
  <si>
    <t>Milestone</t>
  </si>
  <si>
    <t>Phase</t>
  </si>
  <si>
    <t>Due Date</t>
  </si>
  <si>
    <t>Completed</t>
  </si>
  <si>
    <t>Status</t>
  </si>
  <si>
    <t>Owner</t>
  </si>
  <si>
    <t>Kickoff Call</t>
  </si>
  <si>
    <t>2025-03-05</t>
  </si>
  <si>
    <t>Complete</t>
  </si>
  <si>
    <t>All attended</t>
  </si>
  <si>
    <t>Requirements Sign-off</t>
  </si>
  <si>
    <t>2025-03-16</t>
  </si>
  <si>
    <t>Signed by COO</t>
  </si>
  <si>
    <t>System Configuration</t>
  </si>
  <si>
    <t>2025-04-30</t>
  </si>
  <si>
    <t>In Progress</t>
  </si>
  <si>
    <t>75% done</t>
  </si>
  <si>
    <t>2025-05-31</t>
  </si>
  <si>
    <t>Not Started</t>
  </si>
  <si>
    <t>Awaiting data</t>
  </si>
  <si>
    <t>2025-07-15</t>
  </si>
  <si>
    <t>UAT Sign-off</t>
  </si>
  <si>
    <t>UAT</t>
  </si>
  <si>
    <t>2025-08-01</t>
  </si>
  <si>
    <t>2025-03-20</t>
  </si>
  <si>
    <t>2025-04-03</t>
  </si>
  <si>
    <t>Minor delays</t>
  </si>
  <si>
    <t>Data Export</t>
  </si>
  <si>
    <t>2025-04-20</t>
  </si>
  <si>
    <t>Blocked</t>
  </si>
  <si>
    <t>IT delay</t>
  </si>
  <si>
    <t>2025-05-15</t>
  </si>
  <si>
    <t>2025-02-05</t>
  </si>
  <si>
    <t>2025-03-02</t>
  </si>
  <si>
    <t>2025-03-31</t>
  </si>
  <si>
    <t>Training Prep</t>
  </si>
  <si>
    <t>2025-05-01</t>
  </si>
  <si>
    <t>Deck 50% done</t>
  </si>
  <si>
    <t>2025-04-05</t>
  </si>
  <si>
    <t>Requirements</t>
  </si>
  <si>
    <t xml:space="preserve">  ACTION ITEMS - Customer dropdown pulls from Customers sheet. Overdue rows highlight red.</t>
  </si>
  <si>
    <t>Action Item</t>
  </si>
  <si>
    <t>Priority</t>
  </si>
  <si>
    <t>Complete EHR field mapping document</t>
  </si>
  <si>
    <t>2025-04-25</t>
  </si>
  <si>
    <t>🔴 High</t>
  </si>
  <si>
    <t>Send to client</t>
  </si>
  <si>
    <t>Schedule config review call</t>
  </si>
  <si>
    <t>2025-04-22</t>
  </si>
  <si>
    <t>Open</t>
  </si>
  <si>
    <t>🟡 Medium</t>
  </si>
  <si>
    <t>Follow up on data export timeline</t>
  </si>
  <si>
    <t>Escalate if no reply</t>
  </si>
  <si>
    <t>Send data migration template</t>
  </si>
  <si>
    <t>2025-04-24</t>
  </si>
  <si>
    <t>Confirm training attendee list</t>
  </si>
  <si>
    <t>2025-04-23</t>
  </si>
  <si>
    <t>🟢 Low</t>
  </si>
  <si>
    <t>12 confirmed</t>
  </si>
  <si>
    <t>Prepare training materials</t>
  </si>
  <si>
    <t>50% done</t>
  </si>
  <si>
    <t>Send integration spec document</t>
  </si>
  <si>
    <t>2025-04-21</t>
  </si>
  <si>
    <t>Blocking go-live</t>
  </si>
  <si>
    <t xml:space="preserve">  PROGRESS TRACKER - Auto-calculated from 🏁 Milestones sheet via COUNTIFS</t>
  </si>
  <si>
    <t xml:space="preserve">  Customer names pulled from 🗂 Customers sheet. Progress = Complete milestones / Total milestones per phase.</t>
  </si>
  <si>
    <t>How To Use Implementation Tracker</t>
  </si>
  <si>
    <t>Built by Amitesh Anirudhan  |  github.com/amitesh0109  |  All sheets are connected via VLOOKUP/COUNTIFS</t>
  </si>
  <si>
    <t xml:space="preserve">  DATA FLOW — How sheets connect</t>
  </si>
  <si>
    <t>🗂 Customers is the master</t>
  </si>
  <si>
    <t>Add all customers here first. Every other sheet pulls customer names from this sheet automatically.</t>
  </si>
  <si>
    <t>🏁 Milestones feeds Progress</t>
  </si>
  <si>
    <t>The 📈 Progress sheet uses COUNTIFS on Milestones to calculate phase completion % per customer automatically.</t>
  </si>
  <si>
    <t>✅ Action Items feeds Dashboard</t>
  </si>
  <si>
    <t>Open action count per customer on the Dashboard is a live COUNTIFS from the Action Items sheet.</t>
  </si>
  <si>
    <t>📊 Dashboard is read-only</t>
  </si>
  <si>
    <t>Do not edit the Dashboard directly it pulls everything live from the other sheets.</t>
  </si>
  <si>
    <t xml:space="preserve">  HOW TO ADD A NEW CUSTOMER</t>
  </si>
  <si>
    <t>Step 1 - Customers sheet</t>
  </si>
  <si>
    <t>Add a new row in 🗂 Customers with name, dates, stage, and owner.</t>
  </si>
  <si>
    <t>Step 2 - Milestones sheet</t>
  </si>
  <si>
    <t>Add milestone rows. Select the customer name from the dropdown (it pulls from Customers automatically).</t>
  </si>
  <si>
    <t>Step 3 - Action Items</t>
  </si>
  <si>
    <t>Add action items. Select the customer from the dropdown.</t>
  </si>
  <si>
    <t>Step 4 - Progress sheet</t>
  </si>
  <si>
    <t>Add a new row. The customer name formula and all COUNTIFS update automatically.</t>
  </si>
  <si>
    <t>Step 5 - Dashboard</t>
  </si>
  <si>
    <t>Add a new row referencing the new Customers row. All KPIs update automatically.</t>
  </si>
  <si>
    <t xml:space="preserve">  TIPS</t>
  </si>
  <si>
    <t>Overdue actions</t>
  </si>
  <si>
    <t>Any action past its due date that is not Complete highlights red automatically.</t>
  </si>
  <si>
    <t>Progress %</t>
  </si>
  <si>
    <t>Calculated as Complete milestones / total milestones per phase using COUNTIFS on the Milestones sheet.</t>
  </si>
  <si>
    <t>Dropdowns</t>
  </si>
  <si>
    <t>Customer name, Stage, Status, and Priority fields all have dropdown validation.</t>
  </si>
  <si>
    <t>Color scale</t>
  </si>
  <si>
    <t>Progress sheet uses a red→amber→green color scale based on % complete per phase.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</si>
</sst>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8">
    <font>
      <sz val="11.0"/>
      <color theme="1"/>
      <name val="Calibri"/>
      <scheme val="minor"/>
    </font>
    <font>
      <b/>
      <sz val="20.0"/>
      <color rgb="FF1F4E79"/>
      <name val="Arial"/>
    </font>
    <font>
      <i/>
      <sz val="9.0"/>
      <color rgb="FF595959"/>
      <name val="Arial"/>
    </font>
    <font>
      <sz val="8.0"/>
      <color rgb="FF595959"/>
      <name val="Arial"/>
    </font>
    <font/>
    <font>
      <b/>
      <sz val="22.0"/>
      <color rgb="FF1F4E79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sz val="9.0"/>
      <color rgb="FFFFFFFF"/>
      <name val="Arial"/>
    </font>
    <font>
      <b/>
      <sz val="9.0"/>
      <color rgb="FF000000"/>
      <name val="Arial"/>
    </font>
    <font>
      <sz val="9.0"/>
      <color rgb="FF000000"/>
      <name val="Arial"/>
    </font>
    <font>
      <color theme="1"/>
      <name val="Calibri"/>
      <scheme val="minor"/>
    </font>
    <font>
      <b/>
      <sz val="9.0"/>
      <color rgb="FF375623"/>
      <name val="Arial"/>
    </font>
    <font>
      <b/>
      <sz val="9.0"/>
      <color rgb="FF7F5300"/>
      <name val="Arial"/>
    </font>
    <font>
      <b/>
      <sz val="9.0"/>
      <color rgb="FF595959"/>
      <name val="Arial"/>
    </font>
    <font>
      <b/>
      <sz val="9.0"/>
      <color rgb="FF7B0000"/>
      <name val="Arial"/>
    </font>
    <font>
      <b/>
      <sz val="9.0"/>
      <color rgb="FF1F4E79"/>
      <name val="Arial"/>
    </font>
    <font>
      <b/>
      <sz val="18.0"/>
      <color rgb="FF1F4E79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BF3FB"/>
        <bgColor rgb="FFEBF3FB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6">
    <border/>
    <border>
      <left/>
      <top/>
      <bottom/>
    </border>
    <border>
      <right/>
      <top/>
      <bottom/>
    </border>
    <border>
      <top/>
      <bottom/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0" fontId="4" numFmtId="0" xfId="0" applyBorder="1" applyFont="1"/>
    <xf borderId="1" fillId="2" fontId="5" numFmtId="0" xfId="0" applyAlignment="1" applyBorder="1" applyFont="1">
      <alignment horizontal="center" shrinkToFit="0" vertical="center" wrapText="0"/>
    </xf>
    <xf borderId="1" fillId="2" fontId="5" numFmtId="9" xfId="0" applyAlignment="1" applyBorder="1" applyFont="1" applyNumberFormat="1">
      <alignment horizontal="center" shrinkToFit="0" vertical="center" wrapText="0"/>
    </xf>
    <xf borderId="1" fillId="2" fontId="6" numFmtId="0" xfId="0" applyAlignment="1" applyBorder="1" applyFont="1">
      <alignment shrinkToFit="0" vertical="bottom" wrapText="0"/>
    </xf>
    <xf borderId="1" fillId="3" fontId="7" numFmtId="0" xfId="0" applyAlignment="1" applyBorder="1" applyFill="1" applyFont="1">
      <alignment horizontal="left" shrinkToFit="0" vertical="center" wrapText="0"/>
    </xf>
    <xf borderId="3" fillId="0" fontId="4" numFmtId="0" xfId="0" applyBorder="1" applyFont="1"/>
    <xf borderId="4" fillId="4" fontId="8" numFmtId="0" xfId="0" applyAlignment="1" applyBorder="1" applyFill="1" applyFont="1">
      <alignment horizontal="center" shrinkToFit="0" vertical="center" wrapText="0"/>
    </xf>
    <xf borderId="5" fillId="5" fontId="9" numFmtId="0" xfId="0" applyAlignment="1" applyBorder="1" applyFill="1" applyFont="1">
      <alignment horizontal="left" shrinkToFit="0" vertical="center" wrapText="0"/>
    </xf>
    <xf borderId="5" fillId="5" fontId="10" numFmtId="0" xfId="0" applyAlignment="1" applyBorder="1" applyFont="1">
      <alignment horizontal="center" shrinkToFit="0" vertical="center" wrapText="0"/>
    </xf>
    <xf borderId="5" fillId="5" fontId="10" numFmtId="164" xfId="0" applyAlignment="1" applyBorder="1" applyFont="1" applyNumberFormat="1">
      <alignment horizontal="center" shrinkToFit="0" vertical="center" wrapText="0"/>
    </xf>
    <xf borderId="5" fillId="5" fontId="10" numFmtId="9" xfId="0" applyAlignment="1" applyBorder="1" applyFont="1" applyNumberFormat="1">
      <alignment horizontal="center" shrinkToFit="0" vertical="center" wrapText="0"/>
    </xf>
    <xf borderId="5" fillId="6" fontId="9" numFmtId="0" xfId="0" applyAlignment="1" applyBorder="1" applyFill="1" applyFont="1">
      <alignment horizontal="left" shrinkToFit="0" vertical="center" wrapText="0"/>
    </xf>
    <xf borderId="5" fillId="6" fontId="10" numFmtId="0" xfId="0" applyAlignment="1" applyBorder="1" applyFont="1">
      <alignment horizontal="center" shrinkToFit="0" vertical="center" wrapText="0"/>
    </xf>
    <xf borderId="5" fillId="6" fontId="10" numFmtId="164" xfId="0" applyAlignment="1" applyBorder="1" applyFont="1" applyNumberFormat="1">
      <alignment horizontal="center" shrinkToFit="0" vertical="center" wrapText="0"/>
    </xf>
    <xf borderId="5" fillId="6" fontId="10" numFmtId="9" xfId="0" applyAlignment="1" applyBorder="1" applyFont="1" applyNumberFormat="1">
      <alignment horizontal="center" shrinkToFit="0" vertical="center" wrapText="0"/>
    </xf>
    <xf borderId="1" fillId="3" fontId="7" numFmtId="0" xfId="0" applyAlignment="1" applyBorder="1" applyFont="1">
      <alignment horizontal="left" readingOrder="0" shrinkToFit="0" vertical="center" wrapText="0"/>
    </xf>
    <xf borderId="5" fillId="5" fontId="10" numFmtId="0" xfId="0" applyAlignment="1" applyBorder="1" applyFont="1">
      <alignment horizontal="left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5" fillId="6" fontId="10" numFmtId="0" xfId="0" applyAlignment="1" applyBorder="1" applyFont="1">
      <alignment horizontal="left" shrinkToFit="0" vertical="center" wrapText="1"/>
    </xf>
    <xf borderId="5" fillId="6" fontId="10" numFmtId="0" xfId="0" applyAlignment="1" applyBorder="1" applyFont="1">
      <alignment horizontal="center" shrinkToFit="0" vertical="center" wrapText="1"/>
    </xf>
    <xf borderId="0" fillId="0" fontId="11" numFmtId="0" xfId="0" applyFont="1"/>
    <xf borderId="5" fillId="7" fontId="12" numFmtId="0" xfId="0" applyAlignment="1" applyBorder="1" applyFill="1" applyFont="1">
      <alignment horizontal="center" shrinkToFit="0" vertical="center" wrapText="1"/>
    </xf>
    <xf borderId="5" fillId="8" fontId="13" numFmtId="0" xfId="0" applyAlignment="1" applyBorder="1" applyFill="1" applyFont="1">
      <alignment horizontal="center" shrinkToFit="0" vertical="center" wrapText="1"/>
    </xf>
    <xf borderId="5" fillId="6" fontId="14" numFmtId="0" xfId="0" applyAlignment="1" applyBorder="1" applyFont="1">
      <alignment horizontal="center" shrinkToFit="0" vertical="center" wrapText="1"/>
    </xf>
    <xf borderId="5" fillId="9" fontId="15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ont="1">
      <alignment horizontal="left" shrinkToFit="0" vertical="center" wrapText="0"/>
    </xf>
    <xf borderId="5" fillId="2" fontId="16" numFmtId="9" xfId="0" applyAlignment="1" applyBorder="1" applyFont="1" applyNumberFormat="1">
      <alignment horizontal="center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5" fillId="2" fontId="16" numFmtId="0" xfId="0" applyAlignment="1" applyBorder="1" applyFont="1">
      <alignment horizontal="left" shrinkToFit="0" vertical="center" wrapText="0"/>
    </xf>
    <xf borderId="5" fillId="5" fontId="10" numFmtId="0" xfId="0" applyAlignment="1" applyBorder="1" applyFont="1">
      <alignment horizontal="left" readingOrder="0" shrinkToFit="0" vertical="center" wrapText="1"/>
    </xf>
    <xf borderId="5" fillId="2" fontId="16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1">
    <dxf>
      <font>
        <b/>
        <sz val="9.0"/>
        <color rgb="FF7B0000"/>
        <name val="Arial"/>
      </font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5" width="16.0"/>
    <col customWidth="1" min="6" max="6" width="14.0"/>
    <col customWidth="1" min="7" max="7" width="16.0"/>
    <col customWidth="1" min="8" max="8" width="18.0"/>
    <col customWidth="1" min="9" max="9" width="16.0"/>
    <col customWidth="1" min="10" max="26" width="8.71"/>
  </cols>
  <sheetData>
    <row r="1" ht="7.5" customHeight="1"/>
    <row r="2" ht="36.0" customHeight="1">
      <c r="B2" s="1" t="s">
        <v>0</v>
      </c>
    </row>
    <row r="3" ht="15.75" customHeight="1">
      <c r="B3" s="2" t="s">
        <v>1</v>
      </c>
    </row>
    <row r="4" ht="9.75" customHeight="1"/>
    <row r="5" ht="13.5" customHeight="1">
      <c r="B5" s="3" t="s">
        <v>2</v>
      </c>
      <c r="C5" s="4"/>
      <c r="D5" s="3" t="s">
        <v>3</v>
      </c>
      <c r="E5" s="4"/>
      <c r="F5" s="3" t="s">
        <v>4</v>
      </c>
      <c r="G5" s="4"/>
      <c r="H5" s="3" t="s">
        <v>5</v>
      </c>
      <c r="I5" s="4"/>
    </row>
    <row r="6" ht="27.75" customHeight="1">
      <c r="B6" s="5">
        <f>COUNTA('🗂 Customers'!B4:B103)</f>
        <v>4</v>
      </c>
      <c r="C6" s="4"/>
      <c r="D6" s="5">
        <f>COUNTIF('🗂 Customers'!F4:F103,"&lt;&gt;Completed")</f>
        <v>100</v>
      </c>
      <c r="E6" s="4"/>
      <c r="F6" s="6">
        <f>IFERROR(AVERAGE('📈 Progress'!I6:I9),0)</f>
        <v>0.5089285714</v>
      </c>
      <c r="G6" s="4"/>
      <c r="H6" s="5">
        <f>COUNTIFS('✅ Action Items'!F5:F504,"&lt;&gt;Complete",'✅ Action Items'!E5:E504,"&lt;"&amp;TODAY(),'✅ Action Items'!B5:B504,"&lt;&gt;""")</f>
        <v>0</v>
      </c>
      <c r="I6" s="4"/>
    </row>
    <row r="7" ht="19.5" customHeight="1">
      <c r="B7" s="7"/>
      <c r="C7" s="4"/>
      <c r="D7" s="7"/>
      <c r="E7" s="4"/>
      <c r="F7" s="7"/>
      <c r="G7" s="4"/>
      <c r="H7" s="7"/>
      <c r="I7" s="4"/>
    </row>
    <row r="8" ht="9.75" customHeight="1"/>
    <row r="9" ht="7.5" customHeight="1"/>
    <row r="10" ht="18.0" customHeight="1">
      <c r="B10" s="8" t="s">
        <v>6</v>
      </c>
      <c r="C10" s="9"/>
      <c r="D10" s="9"/>
      <c r="E10" s="9"/>
      <c r="F10" s="9"/>
      <c r="G10" s="9"/>
      <c r="H10" s="9"/>
      <c r="I10" s="4"/>
    </row>
    <row r="11" ht="19.5" customHeight="1">
      <c r="B11" s="10" t="s">
        <v>7</v>
      </c>
      <c r="C11" s="10" t="s">
        <v>8</v>
      </c>
      <c r="D11" s="10" t="s">
        <v>9</v>
      </c>
      <c r="E11" s="10" t="s">
        <v>10</v>
      </c>
      <c r="F11" s="10" t="s">
        <v>11</v>
      </c>
      <c r="G11" s="10" t="s">
        <v>12</v>
      </c>
      <c r="H11" s="10" t="s">
        <v>13</v>
      </c>
    </row>
    <row r="12" ht="18.0" customHeight="1">
      <c r="B12" s="11" t="str">
        <f>'🗂 Customers'!B4</f>
        <v>Sunrise Senior Living</v>
      </c>
      <c r="C12" s="12" t="str">
        <f>'🗂 Customers'!F4</f>
        <v>Configuration</v>
      </c>
      <c r="D12" s="13" t="str">
        <f>'🗂 Customers'!D4</f>
        <v>2025-08-15</v>
      </c>
      <c r="E12" s="12" t="str">
        <f>COUNTIFS('🏁 Milestones'!$B$5:$B$504,$B12,'🏁 Milestones'!$G$5:$G$504,"Complete")&amp;" / "&amp;COUNTIF('🏁 Milestones'!$B$5:$B$504,$B12)</f>
        <v>2 / 7</v>
      </c>
      <c r="F12" s="12">
        <f>COUNTIFS('✅ Action Items'!$B$5:$B$504,$B12,'✅ Action Items'!$F$5:$F$504,"&lt;&gt;Complete")</f>
        <v>2</v>
      </c>
      <c r="G12" s="14">
        <f>'📈 Progress'!I6</f>
        <v>0.2857142857</v>
      </c>
      <c r="H12" s="12" t="str">
        <f>'🗂 Customers'!G4</f>
        <v>Amitesh A.</v>
      </c>
    </row>
    <row r="13" ht="18.0" customHeight="1">
      <c r="B13" s="15" t="str">
        <f>'🗂 Customers'!B5</f>
        <v>Brightview Communities</v>
      </c>
      <c r="C13" s="16" t="str">
        <f>'🗂 Customers'!F5</f>
        <v>Data Migration</v>
      </c>
      <c r="D13" s="17" t="str">
        <f>'🗂 Customers'!D5</f>
        <v>2025-09-01</v>
      </c>
      <c r="E13" s="16" t="str">
        <f>COUNTIFS('🏁 Milestones'!$B$5:$B$504,$B13,'🏁 Milestones'!$G$5:$G$504,"Complete")&amp;" / "&amp;COUNTIF('🏁 Milestones'!$B$5:$B$504,$B13)</f>
        <v>2 / 4</v>
      </c>
      <c r="F13" s="16">
        <f>COUNTIFS('✅ Action Items'!$B$5:$B$504,$B13,'✅ Action Items'!$F$5:$F$504,"&lt;&gt;Complete")</f>
        <v>2</v>
      </c>
      <c r="G13" s="18">
        <f>'📈 Progress'!I7</f>
        <v>0.5</v>
      </c>
      <c r="H13" s="16" t="str">
        <f>'🗂 Customers'!G5</f>
        <v>Amitesh A.</v>
      </c>
    </row>
    <row r="14" ht="18.0" customHeight="1">
      <c r="B14" s="11" t="str">
        <f>'🗂 Customers'!B6</f>
        <v>Atria Senior Living</v>
      </c>
      <c r="C14" s="12" t="str">
        <f>'🗂 Customers'!F6</f>
        <v>Training</v>
      </c>
      <c r="D14" s="13" t="str">
        <f>'🗂 Customers'!D6</f>
        <v>2025-07-30</v>
      </c>
      <c r="E14" s="12" t="str">
        <f>COUNTIFS('🏁 Milestones'!$B$5:$B$504,$B14,'🏁 Milestones'!$G$5:$G$504,"Complete")&amp;" / "&amp;COUNTIF('🏁 Milestones'!$B$5:$B$504,$B14)</f>
        <v>3 / 4</v>
      </c>
      <c r="F14" s="12">
        <f>COUNTIFS('✅ Action Items'!$B$5:$B$504,$B14,'✅ Action Items'!$F$5:$F$504,"&lt;&gt;Complete")</f>
        <v>1</v>
      </c>
      <c r="G14" s="14">
        <f>'📈 Progress'!I8</f>
        <v>0.75</v>
      </c>
      <c r="H14" s="12" t="str">
        <f>'🗂 Customers'!G6</f>
        <v>Amitesh A.</v>
      </c>
    </row>
    <row r="15" ht="18.0" customHeight="1">
      <c r="B15" s="15" t="str">
        <f>'🗂 Customers'!B7</f>
        <v>Brookdale Senior</v>
      </c>
      <c r="C15" s="16" t="str">
        <f>'🗂 Customers'!F7</f>
        <v>Discovery</v>
      </c>
      <c r="D15" s="17" t="str">
        <f>'🗂 Customers'!D7</f>
        <v>2025-10-01</v>
      </c>
      <c r="E15" s="16" t="str">
        <f>COUNTIFS('🏁 Milestones'!$B$5:$B$504,$B15,'🏁 Milestones'!$G$5:$G$504,"Complete")&amp;" / "&amp;COUNTIF('🏁 Milestones'!$B$5:$B$504,$B15)</f>
        <v>1 / 2</v>
      </c>
      <c r="F15" s="16">
        <f>COUNTIFS('✅ Action Items'!$B$5:$B$504,$B15,'✅ Action Items'!$F$5:$F$504,"&lt;&gt;Complete")</f>
        <v>1</v>
      </c>
      <c r="G15" s="18">
        <f>'📈 Progress'!I9</f>
        <v>0.5</v>
      </c>
      <c r="H15" s="16" t="str">
        <f>'🗂 Customers'!G7</f>
        <v>Amitesh A.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D6:E6"/>
    <mergeCell ref="F6:G6"/>
    <mergeCell ref="B6:C6"/>
    <mergeCell ref="B7:C7"/>
    <mergeCell ref="D7:E7"/>
    <mergeCell ref="F7:G7"/>
    <mergeCell ref="H7:I7"/>
    <mergeCell ref="B10:I10"/>
    <mergeCell ref="B2:I2"/>
    <mergeCell ref="B3:I3"/>
    <mergeCell ref="B5:C5"/>
    <mergeCell ref="D5:E5"/>
    <mergeCell ref="F5:G5"/>
    <mergeCell ref="H5:I5"/>
    <mergeCell ref="H6:I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4" width="14.0"/>
    <col customWidth="1" min="5" max="5" width="22.0"/>
    <col customWidth="1" min="6" max="6" width="18.0"/>
    <col customWidth="1" min="7" max="7" width="16.0"/>
    <col customWidth="1" min="8" max="8" width="18.0"/>
    <col customWidth="1" min="9" max="9" width="24.0"/>
    <col customWidth="1" min="10" max="26" width="8.71"/>
  </cols>
  <sheetData>
    <row r="1" ht="7.5" customHeight="1"/>
    <row r="2" ht="18.0" customHeight="1">
      <c r="B2" s="19" t="s">
        <v>14</v>
      </c>
      <c r="C2" s="9"/>
      <c r="D2" s="9"/>
      <c r="E2" s="9"/>
      <c r="F2" s="9"/>
      <c r="G2" s="9"/>
      <c r="H2" s="9"/>
      <c r="I2" s="4"/>
    </row>
    <row r="3" ht="19.5" customHeight="1">
      <c r="B3" s="10" t="s">
        <v>15</v>
      </c>
      <c r="C3" s="10" t="s">
        <v>16</v>
      </c>
      <c r="D3" s="10" t="s">
        <v>17</v>
      </c>
      <c r="E3" s="10" t="s">
        <v>18</v>
      </c>
      <c r="F3" s="10" t="s">
        <v>8</v>
      </c>
      <c r="G3" s="10" t="s">
        <v>13</v>
      </c>
      <c r="H3" s="10" t="s">
        <v>19</v>
      </c>
      <c r="I3" s="10" t="s">
        <v>20</v>
      </c>
    </row>
    <row r="4" ht="18.0" customHeight="1">
      <c r="B4" s="20" t="s">
        <v>21</v>
      </c>
      <c r="C4" s="21" t="s">
        <v>22</v>
      </c>
      <c r="D4" s="21" t="s">
        <v>23</v>
      </c>
      <c r="E4" s="21" t="s">
        <v>24</v>
      </c>
      <c r="F4" s="21" t="s">
        <v>25</v>
      </c>
      <c r="G4" s="21" t="s">
        <v>26</v>
      </c>
      <c r="H4" s="21" t="s">
        <v>27</v>
      </c>
      <c r="I4" s="21" t="s">
        <v>28</v>
      </c>
    </row>
    <row r="5" ht="18.0" customHeight="1">
      <c r="B5" s="22" t="s">
        <v>29</v>
      </c>
      <c r="C5" s="23" t="s">
        <v>30</v>
      </c>
      <c r="D5" s="23" t="s">
        <v>31</v>
      </c>
      <c r="E5" s="23" t="s">
        <v>24</v>
      </c>
      <c r="F5" s="23" t="s">
        <v>32</v>
      </c>
      <c r="G5" s="23" t="s">
        <v>26</v>
      </c>
      <c r="H5" s="23" t="s">
        <v>33</v>
      </c>
      <c r="I5" s="23" t="s">
        <v>34</v>
      </c>
    </row>
    <row r="6" ht="18.0" customHeight="1">
      <c r="B6" s="20" t="s">
        <v>35</v>
      </c>
      <c r="C6" s="21" t="s">
        <v>36</v>
      </c>
      <c r="D6" s="21" t="s">
        <v>37</v>
      </c>
      <c r="E6" s="21" t="s">
        <v>24</v>
      </c>
      <c r="F6" s="21" t="s">
        <v>38</v>
      </c>
      <c r="G6" s="21" t="s">
        <v>26</v>
      </c>
      <c r="H6" s="21" t="s">
        <v>39</v>
      </c>
      <c r="I6" s="21" t="s">
        <v>40</v>
      </c>
    </row>
    <row r="7" ht="18.0" customHeight="1">
      <c r="B7" s="22" t="s">
        <v>41</v>
      </c>
      <c r="C7" s="23" t="s">
        <v>42</v>
      </c>
      <c r="D7" s="23" t="s">
        <v>43</v>
      </c>
      <c r="E7" s="23" t="s">
        <v>44</v>
      </c>
      <c r="F7" s="23" t="s">
        <v>45</v>
      </c>
      <c r="G7" s="23" t="s">
        <v>26</v>
      </c>
      <c r="H7" s="23" t="s">
        <v>46</v>
      </c>
      <c r="I7" s="23" t="s">
        <v>47</v>
      </c>
    </row>
    <row r="8">
      <c r="E8" s="24"/>
      <c r="F8" s="24"/>
    </row>
    <row r="9">
      <c r="E9" s="24"/>
      <c r="F9" s="24"/>
    </row>
    <row r="10">
      <c r="E10" s="24"/>
      <c r="F10" s="24"/>
    </row>
    <row r="11">
      <c r="E11" s="24"/>
      <c r="F11" s="24"/>
    </row>
    <row r="12">
      <c r="E12" s="24"/>
      <c r="F12" s="24"/>
    </row>
    <row r="13">
      <c r="E13" s="24"/>
      <c r="F13" s="24"/>
    </row>
    <row r="14">
      <c r="E14" s="24"/>
      <c r="F14" s="24"/>
    </row>
    <row r="15">
      <c r="E15" s="24"/>
      <c r="F15" s="24"/>
    </row>
    <row r="16">
      <c r="E16" s="24"/>
      <c r="F16" s="24"/>
    </row>
    <row r="17">
      <c r="E17" s="24"/>
      <c r="F17" s="24"/>
    </row>
    <row r="18">
      <c r="E18" s="24"/>
      <c r="F18" s="24"/>
    </row>
    <row r="19">
      <c r="E19" s="24"/>
      <c r="F19" s="24"/>
    </row>
    <row r="20">
      <c r="E20" s="24"/>
      <c r="F20" s="24"/>
    </row>
    <row r="21" ht="15.75" customHeight="1">
      <c r="E21" s="24"/>
      <c r="F21" s="24"/>
    </row>
    <row r="22" ht="15.75" customHeight="1">
      <c r="E22" s="24"/>
      <c r="F22" s="24"/>
    </row>
    <row r="23" ht="15.75" customHeight="1">
      <c r="E23" s="24"/>
      <c r="F23" s="24"/>
    </row>
    <row r="24" ht="15.75" customHeight="1">
      <c r="E24" s="24"/>
      <c r="F24" s="24"/>
    </row>
    <row r="25" ht="15.75" customHeight="1">
      <c r="E25" s="24"/>
      <c r="F25" s="24"/>
    </row>
    <row r="26" ht="15.75" customHeight="1">
      <c r="E26" s="24"/>
      <c r="F26" s="24"/>
    </row>
    <row r="27" ht="15.75" customHeight="1">
      <c r="E27" s="24"/>
      <c r="F27" s="24"/>
    </row>
    <row r="28" ht="15.75" customHeight="1">
      <c r="E28" s="24"/>
      <c r="F28" s="24"/>
    </row>
    <row r="29" ht="15.75" customHeight="1">
      <c r="E29" s="24"/>
      <c r="F29" s="24"/>
    </row>
    <row r="30" ht="15.75" customHeight="1">
      <c r="E30" s="24"/>
      <c r="F30" s="24"/>
    </row>
    <row r="31" ht="15.75" customHeight="1">
      <c r="E31" s="24"/>
      <c r="F31" s="24"/>
    </row>
    <row r="32" ht="15.75" customHeight="1">
      <c r="E32" s="24"/>
      <c r="F32" s="24"/>
    </row>
    <row r="33" ht="15.75" customHeight="1">
      <c r="E33" s="24"/>
      <c r="F33" s="24"/>
    </row>
    <row r="34" ht="15.75" customHeight="1">
      <c r="E34" s="24"/>
      <c r="F34" s="24"/>
    </row>
    <row r="35" ht="15.75" customHeight="1">
      <c r="E35" s="24"/>
      <c r="F35" s="24"/>
    </row>
    <row r="36" ht="15.75" customHeight="1">
      <c r="E36" s="24"/>
      <c r="F36" s="24"/>
    </row>
    <row r="37" ht="15.75" customHeight="1">
      <c r="E37" s="24"/>
      <c r="F37" s="24"/>
    </row>
    <row r="38" ht="15.75" customHeight="1">
      <c r="E38" s="24"/>
      <c r="F38" s="24"/>
    </row>
    <row r="39" ht="15.75" customHeight="1">
      <c r="E39" s="24"/>
      <c r="F39" s="24"/>
    </row>
    <row r="40" ht="15.75" customHeight="1">
      <c r="E40" s="24"/>
      <c r="F40" s="24"/>
    </row>
    <row r="41" ht="15.75" customHeight="1">
      <c r="E41" s="24"/>
      <c r="F41" s="24"/>
    </row>
    <row r="42" ht="15.75" customHeight="1">
      <c r="E42" s="24"/>
      <c r="F42" s="24"/>
    </row>
    <row r="43" ht="15.75" customHeight="1">
      <c r="E43" s="24"/>
      <c r="F43" s="24"/>
    </row>
    <row r="44" ht="15.75" customHeight="1">
      <c r="E44" s="24"/>
      <c r="F44" s="24"/>
    </row>
    <row r="45" ht="15.75" customHeight="1">
      <c r="E45" s="24"/>
      <c r="F45" s="24"/>
    </row>
    <row r="46" ht="15.75" customHeight="1">
      <c r="E46" s="24"/>
      <c r="F46" s="24"/>
    </row>
    <row r="47" ht="15.75" customHeight="1">
      <c r="E47" s="24"/>
      <c r="F47" s="24"/>
    </row>
    <row r="48" ht="15.75" customHeight="1">
      <c r="E48" s="24"/>
      <c r="F48" s="24"/>
    </row>
    <row r="49" ht="15.75" customHeight="1">
      <c r="E49" s="24"/>
      <c r="F49" s="24"/>
    </row>
    <row r="50" ht="15.75" customHeight="1">
      <c r="E50" s="24"/>
      <c r="F50" s="24"/>
    </row>
    <row r="51" ht="15.75" customHeight="1">
      <c r="E51" s="24"/>
      <c r="F51" s="24"/>
    </row>
    <row r="52" ht="15.75" customHeight="1">
      <c r="E52" s="24"/>
      <c r="F52" s="24"/>
    </row>
    <row r="53" ht="15.75" customHeight="1">
      <c r="E53" s="24"/>
      <c r="F53" s="24"/>
    </row>
    <row r="54" ht="15.75" customHeight="1">
      <c r="E54" s="24"/>
      <c r="F54" s="24"/>
    </row>
    <row r="55" ht="15.75" customHeight="1">
      <c r="E55" s="24"/>
      <c r="F55" s="24"/>
    </row>
    <row r="56" ht="15.75" customHeight="1">
      <c r="E56" s="24"/>
      <c r="F56" s="24"/>
    </row>
    <row r="57" ht="15.75" customHeight="1">
      <c r="E57" s="24"/>
      <c r="F57" s="24"/>
    </row>
    <row r="58" ht="15.75" customHeight="1">
      <c r="E58" s="24"/>
      <c r="F58" s="24"/>
    </row>
    <row r="59" ht="15.75" customHeight="1">
      <c r="E59" s="24"/>
      <c r="F59" s="24"/>
    </row>
    <row r="60" ht="15.75" customHeight="1">
      <c r="E60" s="24"/>
      <c r="F60" s="24"/>
    </row>
    <row r="61" ht="15.75" customHeight="1">
      <c r="E61" s="24"/>
      <c r="F61" s="24"/>
    </row>
    <row r="62" ht="15.75" customHeight="1">
      <c r="E62" s="24"/>
      <c r="F62" s="24"/>
    </row>
    <row r="63" ht="15.75" customHeight="1">
      <c r="E63" s="24"/>
      <c r="F63" s="24"/>
    </row>
    <row r="64" ht="15.75" customHeight="1">
      <c r="E64" s="24"/>
      <c r="F64" s="24"/>
    </row>
    <row r="65" ht="15.75" customHeight="1">
      <c r="E65" s="24"/>
      <c r="F65" s="24"/>
    </row>
    <row r="66" ht="15.75" customHeight="1">
      <c r="E66" s="24"/>
      <c r="F66" s="24"/>
    </row>
    <row r="67" ht="15.75" customHeight="1">
      <c r="E67" s="24"/>
      <c r="F67" s="24"/>
    </row>
    <row r="68" ht="15.75" customHeight="1">
      <c r="E68" s="24"/>
      <c r="F68" s="24"/>
    </row>
    <row r="69" ht="15.75" customHeight="1">
      <c r="E69" s="24"/>
      <c r="F69" s="24"/>
    </row>
    <row r="70" ht="15.75" customHeight="1">
      <c r="E70" s="24"/>
      <c r="F70" s="24"/>
    </row>
    <row r="71" ht="15.75" customHeight="1">
      <c r="E71" s="24"/>
      <c r="F71" s="24"/>
    </row>
    <row r="72" ht="15.75" customHeight="1">
      <c r="E72" s="24"/>
      <c r="F72" s="24"/>
    </row>
    <row r="73" ht="15.75" customHeight="1">
      <c r="E73" s="24"/>
      <c r="F73" s="24"/>
    </row>
    <row r="74" ht="15.75" customHeight="1">
      <c r="E74" s="24"/>
      <c r="F74" s="24"/>
    </row>
    <row r="75" ht="15.75" customHeight="1">
      <c r="E75" s="24"/>
      <c r="F75" s="24"/>
    </row>
    <row r="76" ht="15.75" customHeight="1">
      <c r="E76" s="24"/>
      <c r="F76" s="24"/>
    </row>
    <row r="77" ht="15.75" customHeight="1">
      <c r="E77" s="24"/>
      <c r="F77" s="24"/>
    </row>
    <row r="78" ht="15.75" customHeight="1">
      <c r="E78" s="24"/>
      <c r="F78" s="24"/>
    </row>
    <row r="79" ht="15.75" customHeight="1">
      <c r="E79" s="24"/>
      <c r="F79" s="24"/>
    </row>
    <row r="80" ht="15.75" customHeight="1">
      <c r="E80" s="24"/>
      <c r="F80" s="24"/>
    </row>
    <row r="81" ht="15.75" customHeight="1">
      <c r="E81" s="24"/>
      <c r="F81" s="24"/>
    </row>
    <row r="82" ht="15.75" customHeight="1">
      <c r="E82" s="24"/>
      <c r="F82" s="24"/>
    </row>
    <row r="83" ht="15.75" customHeight="1">
      <c r="E83" s="24"/>
      <c r="F83" s="24"/>
    </row>
    <row r="84" ht="15.75" customHeight="1">
      <c r="E84" s="24"/>
      <c r="F84" s="24"/>
    </row>
    <row r="85" ht="15.75" customHeight="1">
      <c r="E85" s="24"/>
      <c r="F85" s="24"/>
    </row>
    <row r="86" ht="15.75" customHeight="1">
      <c r="E86" s="24"/>
      <c r="F86" s="24"/>
    </row>
    <row r="87" ht="15.75" customHeight="1">
      <c r="E87" s="24"/>
      <c r="F87" s="24"/>
    </row>
    <row r="88" ht="15.75" customHeight="1">
      <c r="E88" s="24"/>
      <c r="F88" s="24"/>
    </row>
    <row r="89" ht="15.75" customHeight="1">
      <c r="E89" s="24"/>
      <c r="F89" s="24"/>
    </row>
    <row r="90" ht="15.75" customHeight="1">
      <c r="E90" s="24"/>
      <c r="F90" s="24"/>
    </row>
    <row r="91" ht="15.75" customHeight="1">
      <c r="E91" s="24"/>
      <c r="F91" s="24"/>
    </row>
    <row r="92" ht="15.75" customHeight="1">
      <c r="E92" s="24"/>
      <c r="F92" s="24"/>
    </row>
    <row r="93" ht="15.75" customHeight="1">
      <c r="E93" s="24"/>
      <c r="F93" s="24"/>
    </row>
    <row r="94" ht="15.75" customHeight="1">
      <c r="E94" s="24"/>
      <c r="F94" s="24"/>
    </row>
    <row r="95" ht="15.75" customHeight="1">
      <c r="E95" s="24"/>
      <c r="F95" s="24"/>
    </row>
    <row r="96" ht="15.75" customHeight="1">
      <c r="E96" s="24"/>
      <c r="F96" s="24"/>
    </row>
    <row r="97" ht="15.75" customHeight="1">
      <c r="E97" s="24"/>
      <c r="F97" s="24"/>
    </row>
    <row r="98" ht="15.75" customHeight="1">
      <c r="E98" s="24"/>
      <c r="F98" s="24"/>
    </row>
    <row r="99" ht="15.75" customHeight="1">
      <c r="E99" s="24"/>
      <c r="F99" s="24"/>
    </row>
    <row r="100" ht="15.75" customHeight="1">
      <c r="E100" s="24"/>
      <c r="F100" s="24"/>
    </row>
    <row r="101" ht="15.75" customHeight="1">
      <c r="E101" s="24"/>
      <c r="F101" s="24"/>
    </row>
    <row r="102" ht="15.75" customHeight="1">
      <c r="E102" s="24"/>
      <c r="F102" s="24"/>
    </row>
    <row r="103" ht="15.75" customHeight="1">
      <c r="E103" s="24"/>
      <c r="F103" s="24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I2"/>
  </mergeCells>
  <dataValidations>
    <dataValidation type="list" allowBlank="1" sqref="E4:E103">
      <formula1>"Full Implementation,Data Migration Only,Training Only,Integration Only"</formula1>
    </dataValidation>
    <dataValidation type="list" allowBlank="1" sqref="F4:F103">
      <formula1>"Discovery,Configuration,Data Migration,Training,UAT,Go-Live,Completed"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3" width="24.0"/>
    <col customWidth="1" min="4" max="4" width="18.0"/>
    <col customWidth="1" min="5" max="5" width="13.0"/>
    <col customWidth="1" min="6" max="7" width="14.0"/>
    <col customWidth="1" min="8" max="8" width="16.0"/>
    <col customWidth="1" min="9" max="9" width="22.0"/>
    <col customWidth="1" min="10" max="26" width="8.71"/>
  </cols>
  <sheetData>
    <row r="1" ht="7.5" customHeight="1"/>
    <row r="2" ht="18.0" customHeight="1">
      <c r="B2" s="19" t="s">
        <v>48</v>
      </c>
      <c r="C2" s="9"/>
      <c r="D2" s="9"/>
      <c r="E2" s="9"/>
      <c r="F2" s="9"/>
      <c r="G2" s="9"/>
      <c r="H2" s="9"/>
      <c r="I2" s="4"/>
    </row>
    <row r="3" ht="7.5" customHeight="1"/>
    <row r="4" ht="19.5" customHeight="1">
      <c r="B4" s="10" t="s">
        <v>7</v>
      </c>
      <c r="C4" s="10" t="s">
        <v>49</v>
      </c>
      <c r="D4" s="10" t="s">
        <v>50</v>
      </c>
      <c r="E4" s="10" t="s">
        <v>51</v>
      </c>
      <c r="F4" s="10" t="s">
        <v>52</v>
      </c>
      <c r="G4" s="10" t="s">
        <v>53</v>
      </c>
      <c r="H4" s="10" t="s">
        <v>54</v>
      </c>
      <c r="I4" s="10" t="s">
        <v>20</v>
      </c>
    </row>
    <row r="5" ht="18.0" customHeight="1">
      <c r="B5" s="21" t="s">
        <v>21</v>
      </c>
      <c r="C5" s="21" t="s">
        <v>55</v>
      </c>
      <c r="D5" s="21" t="s">
        <v>45</v>
      </c>
      <c r="E5" s="21" t="s">
        <v>56</v>
      </c>
      <c r="F5" s="21" t="s">
        <v>56</v>
      </c>
      <c r="G5" s="25" t="s">
        <v>57</v>
      </c>
      <c r="H5" s="21" t="s">
        <v>26</v>
      </c>
      <c r="I5" s="21" t="s">
        <v>58</v>
      </c>
    </row>
    <row r="6" ht="18.0" customHeight="1">
      <c r="B6" s="23" t="s">
        <v>21</v>
      </c>
      <c r="C6" s="23" t="s">
        <v>59</v>
      </c>
      <c r="D6" s="23" t="s">
        <v>45</v>
      </c>
      <c r="E6" s="23" t="s">
        <v>30</v>
      </c>
      <c r="F6" s="23" t="s">
        <v>60</v>
      </c>
      <c r="G6" s="25" t="s">
        <v>57</v>
      </c>
      <c r="H6" s="23" t="s">
        <v>26</v>
      </c>
      <c r="I6" s="23" t="s">
        <v>61</v>
      </c>
    </row>
    <row r="7" ht="18.0" customHeight="1">
      <c r="B7" s="21" t="s">
        <v>21</v>
      </c>
      <c r="C7" s="21" t="s">
        <v>62</v>
      </c>
      <c r="D7" s="21" t="s">
        <v>25</v>
      </c>
      <c r="E7" s="21" t="s">
        <v>63</v>
      </c>
      <c r="F7" s="21"/>
      <c r="G7" s="26" t="s">
        <v>64</v>
      </c>
      <c r="H7" s="21" t="s">
        <v>26</v>
      </c>
      <c r="I7" s="21" t="s">
        <v>65</v>
      </c>
    </row>
    <row r="8" ht="18.0" customHeight="1">
      <c r="B8" s="23" t="s">
        <v>21</v>
      </c>
      <c r="C8" s="23" t="s">
        <v>32</v>
      </c>
      <c r="D8" s="23" t="s">
        <v>32</v>
      </c>
      <c r="E8" s="23" t="s">
        <v>66</v>
      </c>
      <c r="F8" s="23"/>
      <c r="G8" s="27" t="s">
        <v>67</v>
      </c>
      <c r="H8" s="23" t="s">
        <v>26</v>
      </c>
      <c r="I8" s="23" t="s">
        <v>68</v>
      </c>
    </row>
    <row r="9" ht="18.0" customHeight="1">
      <c r="B9" s="21" t="s">
        <v>21</v>
      </c>
      <c r="C9" s="21" t="s">
        <v>38</v>
      </c>
      <c r="D9" s="21" t="s">
        <v>38</v>
      </c>
      <c r="E9" s="21" t="s">
        <v>69</v>
      </c>
      <c r="F9" s="21"/>
      <c r="G9" s="27" t="s">
        <v>67</v>
      </c>
      <c r="H9" s="21" t="s">
        <v>26</v>
      </c>
      <c r="I9" s="21"/>
    </row>
    <row r="10" ht="18.0" customHeight="1">
      <c r="B10" s="23" t="s">
        <v>21</v>
      </c>
      <c r="C10" s="23" t="s">
        <v>70</v>
      </c>
      <c r="D10" s="23" t="s">
        <v>71</v>
      </c>
      <c r="E10" s="23" t="s">
        <v>72</v>
      </c>
      <c r="F10" s="23"/>
      <c r="G10" s="27" t="s">
        <v>67</v>
      </c>
      <c r="H10" s="23" t="s">
        <v>26</v>
      </c>
      <c r="I10" s="23"/>
    </row>
    <row r="11" ht="18.0" customHeight="1">
      <c r="B11" s="21" t="s">
        <v>21</v>
      </c>
      <c r="C11" s="21" t="s">
        <v>9</v>
      </c>
      <c r="D11" s="21" t="s">
        <v>9</v>
      </c>
      <c r="E11" s="21" t="s">
        <v>23</v>
      </c>
      <c r="F11" s="21"/>
      <c r="G11" s="27" t="s">
        <v>67</v>
      </c>
      <c r="H11" s="21" t="s">
        <v>26</v>
      </c>
      <c r="I11" s="21"/>
    </row>
    <row r="12" ht="18.0" customHeight="1">
      <c r="B12" s="23" t="s">
        <v>29</v>
      </c>
      <c r="C12" s="23" t="s">
        <v>55</v>
      </c>
      <c r="D12" s="23" t="s">
        <v>45</v>
      </c>
      <c r="E12" s="23" t="s">
        <v>73</v>
      </c>
      <c r="F12" s="23" t="s">
        <v>73</v>
      </c>
      <c r="G12" s="25" t="s">
        <v>57</v>
      </c>
      <c r="H12" s="23" t="s">
        <v>26</v>
      </c>
      <c r="I12" s="23"/>
    </row>
    <row r="13" ht="18.0" customHeight="1">
      <c r="B13" s="21" t="s">
        <v>29</v>
      </c>
      <c r="C13" s="21" t="s">
        <v>59</v>
      </c>
      <c r="D13" s="21" t="s">
        <v>45</v>
      </c>
      <c r="E13" s="21" t="s">
        <v>42</v>
      </c>
      <c r="F13" s="21" t="s">
        <v>74</v>
      </c>
      <c r="G13" s="25" t="s">
        <v>57</v>
      </c>
      <c r="H13" s="21" t="s">
        <v>26</v>
      </c>
      <c r="I13" s="21" t="s">
        <v>75</v>
      </c>
    </row>
    <row r="14" ht="18.0" customHeight="1">
      <c r="B14" s="23" t="s">
        <v>29</v>
      </c>
      <c r="C14" s="23" t="s">
        <v>76</v>
      </c>
      <c r="D14" s="23" t="s">
        <v>32</v>
      </c>
      <c r="E14" s="23" t="s">
        <v>77</v>
      </c>
      <c r="F14" s="23"/>
      <c r="G14" s="28" t="s">
        <v>78</v>
      </c>
      <c r="H14" s="23" t="s">
        <v>26</v>
      </c>
      <c r="I14" s="23" t="s">
        <v>79</v>
      </c>
    </row>
    <row r="15" ht="18.0" customHeight="1">
      <c r="B15" s="21" t="s">
        <v>29</v>
      </c>
      <c r="C15" s="21" t="s">
        <v>32</v>
      </c>
      <c r="D15" s="21" t="s">
        <v>32</v>
      </c>
      <c r="E15" s="21" t="s">
        <v>80</v>
      </c>
      <c r="F15" s="21"/>
      <c r="G15" s="27" t="s">
        <v>67</v>
      </c>
      <c r="H15" s="21" t="s">
        <v>26</v>
      </c>
      <c r="I15" s="21" t="s">
        <v>78</v>
      </c>
    </row>
    <row r="16" ht="18.0" customHeight="1">
      <c r="B16" s="23" t="s">
        <v>35</v>
      </c>
      <c r="C16" s="23" t="s">
        <v>55</v>
      </c>
      <c r="D16" s="23" t="s">
        <v>45</v>
      </c>
      <c r="E16" s="23" t="s">
        <v>81</v>
      </c>
      <c r="F16" s="23" t="s">
        <v>81</v>
      </c>
      <c r="G16" s="25" t="s">
        <v>57</v>
      </c>
      <c r="H16" s="23" t="s">
        <v>26</v>
      </c>
      <c r="I16" s="23"/>
    </row>
    <row r="17" ht="18.0" customHeight="1">
      <c r="B17" s="21" t="s">
        <v>35</v>
      </c>
      <c r="C17" s="21" t="s">
        <v>25</v>
      </c>
      <c r="D17" s="21" t="s">
        <v>25</v>
      </c>
      <c r="E17" s="21" t="s">
        <v>22</v>
      </c>
      <c r="F17" s="21" t="s">
        <v>82</v>
      </c>
      <c r="G17" s="25" t="s">
        <v>57</v>
      </c>
      <c r="H17" s="21" t="s">
        <v>26</v>
      </c>
      <c r="I17" s="21"/>
    </row>
    <row r="18" ht="18.0" customHeight="1">
      <c r="B18" s="23" t="s">
        <v>35</v>
      </c>
      <c r="C18" s="23" t="s">
        <v>32</v>
      </c>
      <c r="D18" s="23" t="s">
        <v>32</v>
      </c>
      <c r="E18" s="23" t="s">
        <v>83</v>
      </c>
      <c r="F18" s="23" t="s">
        <v>42</v>
      </c>
      <c r="G18" s="25" t="s">
        <v>57</v>
      </c>
      <c r="H18" s="23" t="s">
        <v>26</v>
      </c>
      <c r="I18" s="23"/>
    </row>
    <row r="19" ht="18.0" customHeight="1">
      <c r="B19" s="21" t="s">
        <v>35</v>
      </c>
      <c r="C19" s="21" t="s">
        <v>84</v>
      </c>
      <c r="D19" s="21" t="s">
        <v>38</v>
      </c>
      <c r="E19" s="21" t="s">
        <v>85</v>
      </c>
      <c r="F19" s="21"/>
      <c r="G19" s="26" t="s">
        <v>64</v>
      </c>
      <c r="H19" s="21" t="s">
        <v>26</v>
      </c>
      <c r="I19" s="21" t="s">
        <v>86</v>
      </c>
    </row>
    <row r="20" ht="18.0" customHeight="1">
      <c r="B20" s="23" t="s">
        <v>41</v>
      </c>
      <c r="C20" s="23" t="s">
        <v>55</v>
      </c>
      <c r="D20" s="23" t="s">
        <v>45</v>
      </c>
      <c r="E20" s="23" t="s">
        <v>87</v>
      </c>
      <c r="F20" s="23" t="s">
        <v>87</v>
      </c>
      <c r="G20" s="25" t="s">
        <v>57</v>
      </c>
      <c r="H20" s="23" t="s">
        <v>26</v>
      </c>
      <c r="I20" s="23"/>
    </row>
    <row r="21" ht="18.0" customHeight="1">
      <c r="B21" s="21" t="s">
        <v>41</v>
      </c>
      <c r="C21" s="21" t="s">
        <v>88</v>
      </c>
      <c r="D21" s="21" t="s">
        <v>45</v>
      </c>
      <c r="E21" s="21" t="s">
        <v>77</v>
      </c>
      <c r="F21" s="21"/>
      <c r="G21" s="26" t="s">
        <v>64</v>
      </c>
      <c r="H21" s="21" t="s">
        <v>26</v>
      </c>
      <c r="I21" s="21"/>
    </row>
    <row r="22" ht="15.75" customHeight="1">
      <c r="B22" s="24"/>
      <c r="D22" s="24"/>
      <c r="G22" s="24"/>
    </row>
    <row r="23" ht="15.75" customHeight="1">
      <c r="B23" s="24"/>
      <c r="D23" s="24"/>
      <c r="G23" s="24"/>
    </row>
    <row r="24" ht="15.75" customHeight="1">
      <c r="B24" s="24"/>
      <c r="D24" s="24"/>
      <c r="G24" s="24"/>
    </row>
    <row r="25" ht="15.75" customHeight="1">
      <c r="B25" s="24"/>
      <c r="D25" s="24"/>
      <c r="G25" s="24"/>
    </row>
    <row r="26" ht="15.75" customHeight="1">
      <c r="B26" s="24"/>
      <c r="D26" s="24"/>
      <c r="G26" s="24"/>
    </row>
    <row r="27" ht="15.75" customHeight="1">
      <c r="B27" s="24"/>
      <c r="D27" s="24"/>
      <c r="G27" s="24"/>
    </row>
    <row r="28" ht="15.75" customHeight="1">
      <c r="B28" s="24"/>
      <c r="D28" s="24"/>
      <c r="G28" s="24"/>
    </row>
    <row r="29" ht="15.75" customHeight="1">
      <c r="B29" s="24"/>
      <c r="D29" s="24"/>
      <c r="G29" s="24"/>
    </row>
    <row r="30" ht="15.75" customHeight="1">
      <c r="B30" s="24"/>
      <c r="D30" s="24"/>
      <c r="G30" s="24"/>
    </row>
    <row r="31" ht="15.75" customHeight="1">
      <c r="B31" s="24"/>
      <c r="D31" s="24"/>
      <c r="G31" s="24"/>
    </row>
    <row r="32" ht="15.75" customHeight="1">
      <c r="B32" s="24"/>
      <c r="D32" s="24"/>
      <c r="G32" s="24"/>
    </row>
    <row r="33" ht="15.75" customHeight="1">
      <c r="B33" s="24"/>
      <c r="D33" s="24"/>
      <c r="G33" s="24"/>
    </row>
    <row r="34" ht="15.75" customHeight="1">
      <c r="B34" s="24"/>
      <c r="D34" s="24"/>
      <c r="G34" s="24"/>
    </row>
    <row r="35" ht="15.75" customHeight="1">
      <c r="B35" s="24"/>
      <c r="D35" s="24"/>
      <c r="G35" s="24"/>
    </row>
    <row r="36" ht="15.75" customHeight="1">
      <c r="B36" s="24"/>
      <c r="D36" s="24"/>
      <c r="G36" s="24"/>
    </row>
    <row r="37" ht="15.75" customHeight="1">
      <c r="B37" s="24"/>
      <c r="D37" s="24"/>
      <c r="G37" s="24"/>
    </row>
    <row r="38" ht="15.75" customHeight="1">
      <c r="B38" s="24"/>
      <c r="D38" s="24"/>
      <c r="G38" s="24"/>
    </row>
    <row r="39" ht="15.75" customHeight="1">
      <c r="B39" s="24"/>
      <c r="D39" s="24"/>
      <c r="G39" s="24"/>
    </row>
    <row r="40" ht="15.75" customHeight="1">
      <c r="B40" s="24"/>
      <c r="D40" s="24"/>
      <c r="G40" s="24"/>
    </row>
    <row r="41" ht="15.75" customHeight="1">
      <c r="B41" s="24"/>
      <c r="D41" s="24"/>
      <c r="G41" s="24"/>
    </row>
    <row r="42" ht="15.75" customHeight="1">
      <c r="B42" s="24"/>
      <c r="D42" s="24"/>
      <c r="G42" s="24"/>
    </row>
    <row r="43" ht="15.75" customHeight="1">
      <c r="B43" s="24"/>
      <c r="D43" s="24"/>
      <c r="G43" s="24"/>
    </row>
    <row r="44" ht="15.75" customHeight="1">
      <c r="B44" s="24"/>
      <c r="D44" s="24"/>
      <c r="G44" s="24"/>
    </row>
    <row r="45" ht="15.75" customHeight="1">
      <c r="B45" s="24"/>
      <c r="D45" s="24"/>
      <c r="G45" s="24"/>
    </row>
    <row r="46" ht="15.75" customHeight="1">
      <c r="B46" s="24"/>
      <c r="D46" s="24"/>
      <c r="G46" s="24"/>
    </row>
    <row r="47" ht="15.75" customHeight="1">
      <c r="B47" s="24"/>
      <c r="D47" s="24"/>
      <c r="G47" s="24"/>
    </row>
    <row r="48" ht="15.75" customHeight="1">
      <c r="B48" s="24"/>
      <c r="D48" s="24"/>
      <c r="G48" s="24"/>
    </row>
    <row r="49" ht="15.75" customHeight="1">
      <c r="B49" s="24"/>
      <c r="D49" s="24"/>
      <c r="G49" s="24"/>
    </row>
    <row r="50" ht="15.75" customHeight="1">
      <c r="B50" s="24"/>
      <c r="D50" s="24"/>
      <c r="G50" s="24"/>
    </row>
    <row r="51" ht="15.75" customHeight="1">
      <c r="B51" s="24"/>
      <c r="D51" s="24"/>
      <c r="G51" s="24"/>
    </row>
    <row r="52" ht="15.75" customHeight="1">
      <c r="B52" s="24"/>
      <c r="D52" s="24"/>
      <c r="G52" s="24"/>
    </row>
    <row r="53" ht="15.75" customHeight="1">
      <c r="B53" s="24"/>
      <c r="D53" s="24"/>
      <c r="G53" s="24"/>
    </row>
    <row r="54" ht="15.75" customHeight="1">
      <c r="B54" s="24"/>
      <c r="D54" s="24"/>
      <c r="G54" s="24"/>
    </row>
    <row r="55" ht="15.75" customHeight="1">
      <c r="B55" s="24"/>
      <c r="D55" s="24"/>
      <c r="G55" s="24"/>
    </row>
    <row r="56" ht="15.75" customHeight="1">
      <c r="B56" s="24"/>
      <c r="D56" s="24"/>
      <c r="G56" s="24"/>
    </row>
    <row r="57" ht="15.75" customHeight="1">
      <c r="B57" s="24"/>
      <c r="D57" s="24"/>
      <c r="G57" s="24"/>
    </row>
    <row r="58" ht="15.75" customHeight="1">
      <c r="B58" s="24"/>
      <c r="D58" s="24"/>
      <c r="G58" s="24"/>
    </row>
    <row r="59" ht="15.75" customHeight="1">
      <c r="B59" s="24"/>
      <c r="D59" s="24"/>
      <c r="G59" s="24"/>
    </row>
    <row r="60" ht="15.75" customHeight="1">
      <c r="B60" s="24"/>
      <c r="D60" s="24"/>
      <c r="G60" s="24"/>
    </row>
    <row r="61" ht="15.75" customHeight="1">
      <c r="B61" s="24"/>
      <c r="D61" s="24"/>
      <c r="G61" s="24"/>
    </row>
    <row r="62" ht="15.75" customHeight="1">
      <c r="B62" s="24"/>
      <c r="D62" s="24"/>
      <c r="G62" s="24"/>
    </row>
    <row r="63" ht="15.75" customHeight="1">
      <c r="B63" s="24"/>
      <c r="D63" s="24"/>
      <c r="G63" s="24"/>
    </row>
    <row r="64" ht="15.75" customHeight="1">
      <c r="B64" s="24"/>
      <c r="D64" s="24"/>
      <c r="G64" s="24"/>
    </row>
    <row r="65" ht="15.75" customHeight="1">
      <c r="B65" s="24"/>
      <c r="D65" s="24"/>
      <c r="G65" s="24"/>
    </row>
    <row r="66" ht="15.75" customHeight="1">
      <c r="B66" s="24"/>
      <c r="D66" s="24"/>
      <c r="G66" s="24"/>
    </row>
    <row r="67" ht="15.75" customHeight="1">
      <c r="B67" s="24"/>
      <c r="D67" s="24"/>
      <c r="G67" s="24"/>
    </row>
    <row r="68" ht="15.75" customHeight="1">
      <c r="B68" s="24"/>
      <c r="D68" s="24"/>
      <c r="G68" s="24"/>
    </row>
    <row r="69" ht="15.75" customHeight="1">
      <c r="B69" s="24"/>
      <c r="D69" s="24"/>
      <c r="G69" s="24"/>
    </row>
    <row r="70" ht="15.75" customHeight="1">
      <c r="B70" s="24"/>
      <c r="D70" s="24"/>
      <c r="G70" s="24"/>
    </row>
    <row r="71" ht="15.75" customHeight="1">
      <c r="B71" s="24"/>
      <c r="D71" s="24"/>
      <c r="G71" s="24"/>
    </row>
    <row r="72" ht="15.75" customHeight="1">
      <c r="B72" s="24"/>
      <c r="D72" s="24"/>
      <c r="G72" s="24"/>
    </row>
    <row r="73" ht="15.75" customHeight="1">
      <c r="B73" s="24"/>
      <c r="D73" s="24"/>
      <c r="G73" s="24"/>
    </row>
    <row r="74" ht="15.75" customHeight="1">
      <c r="B74" s="24"/>
      <c r="D74" s="24"/>
      <c r="G74" s="24"/>
    </row>
    <row r="75" ht="15.75" customHeight="1">
      <c r="B75" s="24"/>
      <c r="D75" s="24"/>
      <c r="G75" s="24"/>
    </row>
    <row r="76" ht="15.75" customHeight="1">
      <c r="B76" s="24"/>
      <c r="D76" s="24"/>
      <c r="G76" s="24"/>
    </row>
    <row r="77" ht="15.75" customHeight="1">
      <c r="B77" s="24"/>
      <c r="D77" s="24"/>
      <c r="G77" s="24"/>
    </row>
    <row r="78" ht="15.75" customHeight="1">
      <c r="B78" s="24"/>
      <c r="D78" s="24"/>
      <c r="G78" s="24"/>
    </row>
    <row r="79" ht="15.75" customHeight="1">
      <c r="B79" s="24"/>
      <c r="D79" s="24"/>
      <c r="G79" s="24"/>
    </row>
    <row r="80" ht="15.75" customHeight="1">
      <c r="B80" s="24"/>
      <c r="D80" s="24"/>
      <c r="G80" s="24"/>
    </row>
    <row r="81" ht="15.75" customHeight="1">
      <c r="B81" s="24"/>
      <c r="D81" s="24"/>
      <c r="G81" s="24"/>
    </row>
    <row r="82" ht="15.75" customHeight="1">
      <c r="B82" s="24"/>
      <c r="D82" s="24"/>
      <c r="G82" s="24"/>
    </row>
    <row r="83" ht="15.75" customHeight="1">
      <c r="B83" s="24"/>
      <c r="D83" s="24"/>
      <c r="G83" s="24"/>
    </row>
    <row r="84" ht="15.75" customHeight="1">
      <c r="B84" s="24"/>
      <c r="D84" s="24"/>
      <c r="G84" s="24"/>
    </row>
    <row r="85" ht="15.75" customHeight="1">
      <c r="B85" s="24"/>
      <c r="D85" s="24"/>
      <c r="G85" s="24"/>
    </row>
    <row r="86" ht="15.75" customHeight="1">
      <c r="B86" s="24"/>
      <c r="D86" s="24"/>
      <c r="G86" s="24"/>
    </row>
    <row r="87" ht="15.75" customHeight="1">
      <c r="B87" s="24"/>
      <c r="D87" s="24"/>
      <c r="G87" s="24"/>
    </row>
    <row r="88" ht="15.75" customHeight="1">
      <c r="B88" s="24"/>
      <c r="D88" s="24"/>
      <c r="G88" s="24"/>
    </row>
    <row r="89" ht="15.75" customHeight="1">
      <c r="B89" s="24"/>
      <c r="D89" s="24"/>
      <c r="G89" s="24"/>
    </row>
    <row r="90" ht="15.75" customHeight="1">
      <c r="B90" s="24"/>
      <c r="D90" s="24"/>
      <c r="G90" s="24"/>
    </row>
    <row r="91" ht="15.75" customHeight="1">
      <c r="B91" s="24"/>
      <c r="D91" s="24"/>
      <c r="G91" s="24"/>
    </row>
    <row r="92" ht="15.75" customHeight="1">
      <c r="B92" s="24"/>
      <c r="D92" s="24"/>
      <c r="G92" s="24"/>
    </row>
    <row r="93" ht="15.75" customHeight="1">
      <c r="B93" s="24"/>
      <c r="D93" s="24"/>
      <c r="G93" s="24"/>
    </row>
    <row r="94" ht="15.75" customHeight="1">
      <c r="B94" s="24"/>
      <c r="D94" s="24"/>
      <c r="G94" s="24"/>
    </row>
    <row r="95" ht="15.75" customHeight="1">
      <c r="B95" s="24"/>
      <c r="D95" s="24"/>
      <c r="G95" s="24"/>
    </row>
    <row r="96" ht="15.75" customHeight="1">
      <c r="B96" s="24"/>
      <c r="D96" s="24"/>
      <c r="G96" s="24"/>
    </row>
    <row r="97" ht="15.75" customHeight="1">
      <c r="B97" s="24"/>
      <c r="D97" s="24"/>
      <c r="G97" s="24"/>
    </row>
    <row r="98" ht="15.75" customHeight="1">
      <c r="B98" s="24"/>
      <c r="D98" s="24"/>
      <c r="G98" s="24"/>
    </row>
    <row r="99" ht="15.75" customHeight="1">
      <c r="B99" s="24"/>
      <c r="D99" s="24"/>
      <c r="G99" s="24"/>
    </row>
    <row r="100" ht="15.75" customHeight="1">
      <c r="B100" s="24"/>
      <c r="D100" s="24"/>
      <c r="G100" s="24"/>
    </row>
    <row r="101" ht="15.75" customHeight="1">
      <c r="B101" s="24"/>
      <c r="D101" s="24"/>
      <c r="G101" s="24"/>
    </row>
    <row r="102" ht="15.75" customHeight="1">
      <c r="B102" s="24"/>
      <c r="D102" s="24"/>
      <c r="G102" s="24"/>
    </row>
    <row r="103" ht="15.75" customHeight="1">
      <c r="B103" s="24"/>
      <c r="D103" s="24"/>
      <c r="G103" s="24"/>
    </row>
    <row r="104" ht="15.75" customHeight="1">
      <c r="B104" s="24"/>
      <c r="D104" s="24"/>
      <c r="G104" s="24"/>
    </row>
    <row r="105" ht="15.75" customHeight="1">
      <c r="B105" s="24"/>
      <c r="D105" s="24"/>
      <c r="G105" s="24"/>
    </row>
    <row r="106" ht="15.75" customHeight="1">
      <c r="B106" s="24"/>
      <c r="D106" s="24"/>
      <c r="G106" s="24"/>
    </row>
    <row r="107" ht="15.75" customHeight="1">
      <c r="B107" s="24"/>
      <c r="D107" s="24"/>
      <c r="G107" s="24"/>
    </row>
    <row r="108" ht="15.75" customHeight="1">
      <c r="B108" s="24"/>
      <c r="D108" s="24"/>
      <c r="G108" s="24"/>
    </row>
    <row r="109" ht="15.75" customHeight="1">
      <c r="B109" s="24"/>
      <c r="D109" s="24"/>
      <c r="G109" s="24"/>
    </row>
    <row r="110" ht="15.75" customHeight="1">
      <c r="B110" s="24"/>
      <c r="D110" s="24"/>
      <c r="G110" s="24"/>
    </row>
    <row r="111" ht="15.75" customHeight="1">
      <c r="B111" s="24"/>
      <c r="D111" s="24"/>
      <c r="G111" s="24"/>
    </row>
    <row r="112" ht="15.75" customHeight="1">
      <c r="B112" s="24"/>
      <c r="D112" s="24"/>
      <c r="G112" s="24"/>
    </row>
    <row r="113" ht="15.75" customHeight="1">
      <c r="B113" s="24"/>
      <c r="D113" s="24"/>
      <c r="G113" s="24"/>
    </row>
    <row r="114" ht="15.75" customHeight="1">
      <c r="B114" s="24"/>
      <c r="D114" s="24"/>
      <c r="G114" s="24"/>
    </row>
    <row r="115" ht="15.75" customHeight="1">
      <c r="B115" s="24"/>
      <c r="D115" s="24"/>
      <c r="G115" s="24"/>
    </row>
    <row r="116" ht="15.75" customHeight="1">
      <c r="B116" s="24"/>
      <c r="D116" s="24"/>
      <c r="G116" s="24"/>
    </row>
    <row r="117" ht="15.75" customHeight="1">
      <c r="B117" s="24"/>
      <c r="D117" s="24"/>
      <c r="G117" s="24"/>
    </row>
    <row r="118" ht="15.75" customHeight="1">
      <c r="B118" s="24"/>
      <c r="D118" s="24"/>
      <c r="G118" s="24"/>
    </row>
    <row r="119" ht="15.75" customHeight="1">
      <c r="B119" s="24"/>
      <c r="D119" s="24"/>
      <c r="G119" s="24"/>
    </row>
    <row r="120" ht="15.75" customHeight="1">
      <c r="B120" s="24"/>
      <c r="D120" s="24"/>
      <c r="G120" s="24"/>
    </row>
    <row r="121" ht="15.75" customHeight="1">
      <c r="B121" s="24"/>
      <c r="D121" s="24"/>
      <c r="G121" s="24"/>
    </row>
    <row r="122" ht="15.75" customHeight="1">
      <c r="B122" s="24"/>
      <c r="D122" s="24"/>
      <c r="G122" s="24"/>
    </row>
    <row r="123" ht="15.75" customHeight="1">
      <c r="B123" s="24"/>
      <c r="D123" s="24"/>
      <c r="G123" s="24"/>
    </row>
    <row r="124" ht="15.75" customHeight="1">
      <c r="B124" s="24"/>
      <c r="D124" s="24"/>
      <c r="G124" s="24"/>
    </row>
    <row r="125" ht="15.75" customHeight="1">
      <c r="B125" s="24"/>
      <c r="D125" s="24"/>
      <c r="G125" s="24"/>
    </row>
    <row r="126" ht="15.75" customHeight="1">
      <c r="B126" s="24"/>
      <c r="D126" s="24"/>
      <c r="G126" s="24"/>
    </row>
    <row r="127" ht="15.75" customHeight="1">
      <c r="B127" s="24"/>
      <c r="D127" s="24"/>
      <c r="G127" s="24"/>
    </row>
    <row r="128" ht="15.75" customHeight="1">
      <c r="B128" s="24"/>
      <c r="D128" s="24"/>
      <c r="G128" s="24"/>
    </row>
    <row r="129" ht="15.75" customHeight="1">
      <c r="B129" s="24"/>
      <c r="D129" s="24"/>
      <c r="G129" s="24"/>
    </row>
    <row r="130" ht="15.75" customHeight="1">
      <c r="B130" s="24"/>
      <c r="D130" s="24"/>
      <c r="G130" s="24"/>
    </row>
    <row r="131" ht="15.75" customHeight="1">
      <c r="B131" s="24"/>
      <c r="D131" s="24"/>
      <c r="G131" s="24"/>
    </row>
    <row r="132" ht="15.75" customHeight="1">
      <c r="B132" s="24"/>
      <c r="D132" s="24"/>
      <c r="G132" s="24"/>
    </row>
    <row r="133" ht="15.75" customHeight="1">
      <c r="B133" s="24"/>
      <c r="D133" s="24"/>
      <c r="G133" s="24"/>
    </row>
    <row r="134" ht="15.75" customHeight="1">
      <c r="B134" s="24"/>
      <c r="D134" s="24"/>
      <c r="G134" s="24"/>
    </row>
    <row r="135" ht="15.75" customHeight="1">
      <c r="B135" s="24"/>
      <c r="D135" s="24"/>
      <c r="G135" s="24"/>
    </row>
    <row r="136" ht="15.75" customHeight="1">
      <c r="B136" s="24"/>
      <c r="D136" s="24"/>
      <c r="G136" s="24"/>
    </row>
    <row r="137" ht="15.75" customHeight="1">
      <c r="B137" s="24"/>
      <c r="D137" s="24"/>
      <c r="G137" s="24"/>
    </row>
    <row r="138" ht="15.75" customHeight="1">
      <c r="B138" s="24"/>
      <c r="D138" s="24"/>
      <c r="G138" s="24"/>
    </row>
    <row r="139" ht="15.75" customHeight="1">
      <c r="B139" s="24"/>
      <c r="D139" s="24"/>
      <c r="G139" s="24"/>
    </row>
    <row r="140" ht="15.75" customHeight="1">
      <c r="B140" s="24"/>
      <c r="D140" s="24"/>
      <c r="G140" s="24"/>
    </row>
    <row r="141" ht="15.75" customHeight="1">
      <c r="B141" s="24"/>
      <c r="D141" s="24"/>
      <c r="G141" s="24"/>
    </row>
    <row r="142" ht="15.75" customHeight="1">
      <c r="B142" s="24"/>
      <c r="D142" s="24"/>
      <c r="G142" s="24"/>
    </row>
    <row r="143" ht="15.75" customHeight="1">
      <c r="B143" s="24"/>
      <c r="D143" s="24"/>
      <c r="G143" s="24"/>
    </row>
    <row r="144" ht="15.75" customHeight="1">
      <c r="B144" s="24"/>
      <c r="D144" s="24"/>
      <c r="G144" s="24"/>
    </row>
    <row r="145" ht="15.75" customHeight="1">
      <c r="B145" s="24"/>
      <c r="D145" s="24"/>
      <c r="G145" s="24"/>
    </row>
    <row r="146" ht="15.75" customHeight="1">
      <c r="B146" s="24"/>
      <c r="D146" s="24"/>
      <c r="G146" s="24"/>
    </row>
    <row r="147" ht="15.75" customHeight="1">
      <c r="B147" s="24"/>
      <c r="D147" s="24"/>
      <c r="G147" s="24"/>
    </row>
    <row r="148" ht="15.75" customHeight="1">
      <c r="B148" s="24"/>
      <c r="D148" s="24"/>
      <c r="G148" s="24"/>
    </row>
    <row r="149" ht="15.75" customHeight="1">
      <c r="B149" s="24"/>
      <c r="D149" s="24"/>
      <c r="G149" s="24"/>
    </row>
    <row r="150" ht="15.75" customHeight="1">
      <c r="B150" s="24"/>
      <c r="D150" s="24"/>
      <c r="G150" s="24"/>
    </row>
    <row r="151" ht="15.75" customHeight="1">
      <c r="B151" s="24"/>
      <c r="D151" s="24"/>
      <c r="G151" s="24"/>
    </row>
    <row r="152" ht="15.75" customHeight="1">
      <c r="B152" s="24"/>
      <c r="D152" s="24"/>
      <c r="G152" s="24"/>
    </row>
    <row r="153" ht="15.75" customHeight="1">
      <c r="B153" s="24"/>
      <c r="D153" s="24"/>
      <c r="G153" s="24"/>
    </row>
    <row r="154" ht="15.75" customHeight="1">
      <c r="B154" s="24"/>
      <c r="D154" s="24"/>
      <c r="G154" s="24"/>
    </row>
    <row r="155" ht="15.75" customHeight="1">
      <c r="B155" s="24"/>
      <c r="D155" s="24"/>
      <c r="G155" s="24"/>
    </row>
    <row r="156" ht="15.75" customHeight="1">
      <c r="B156" s="24"/>
      <c r="D156" s="24"/>
      <c r="G156" s="24"/>
    </row>
    <row r="157" ht="15.75" customHeight="1">
      <c r="B157" s="24"/>
      <c r="D157" s="24"/>
      <c r="G157" s="24"/>
    </row>
    <row r="158" ht="15.75" customHeight="1">
      <c r="B158" s="24"/>
      <c r="D158" s="24"/>
      <c r="G158" s="24"/>
    </row>
    <row r="159" ht="15.75" customHeight="1">
      <c r="B159" s="24"/>
      <c r="D159" s="24"/>
      <c r="G159" s="24"/>
    </row>
    <row r="160" ht="15.75" customHeight="1">
      <c r="B160" s="24"/>
      <c r="D160" s="24"/>
      <c r="G160" s="24"/>
    </row>
    <row r="161" ht="15.75" customHeight="1">
      <c r="B161" s="24"/>
      <c r="D161" s="24"/>
      <c r="G161" s="24"/>
    </row>
    <row r="162" ht="15.75" customHeight="1">
      <c r="B162" s="24"/>
      <c r="D162" s="24"/>
      <c r="G162" s="24"/>
    </row>
    <row r="163" ht="15.75" customHeight="1">
      <c r="B163" s="24"/>
      <c r="D163" s="24"/>
      <c r="G163" s="24"/>
    </row>
    <row r="164" ht="15.75" customHeight="1">
      <c r="B164" s="24"/>
      <c r="D164" s="24"/>
      <c r="G164" s="24"/>
    </row>
    <row r="165" ht="15.75" customHeight="1">
      <c r="B165" s="24"/>
      <c r="D165" s="24"/>
      <c r="G165" s="24"/>
    </row>
    <row r="166" ht="15.75" customHeight="1">
      <c r="B166" s="24"/>
      <c r="D166" s="24"/>
      <c r="G166" s="24"/>
    </row>
    <row r="167" ht="15.75" customHeight="1">
      <c r="B167" s="24"/>
      <c r="D167" s="24"/>
      <c r="G167" s="24"/>
    </row>
    <row r="168" ht="15.75" customHeight="1">
      <c r="B168" s="24"/>
      <c r="D168" s="24"/>
      <c r="G168" s="24"/>
    </row>
    <row r="169" ht="15.75" customHeight="1">
      <c r="B169" s="24"/>
      <c r="D169" s="24"/>
      <c r="G169" s="24"/>
    </row>
    <row r="170" ht="15.75" customHeight="1">
      <c r="B170" s="24"/>
      <c r="D170" s="24"/>
      <c r="G170" s="24"/>
    </row>
    <row r="171" ht="15.75" customHeight="1">
      <c r="B171" s="24"/>
      <c r="D171" s="24"/>
      <c r="G171" s="24"/>
    </row>
    <row r="172" ht="15.75" customHeight="1">
      <c r="B172" s="24"/>
      <c r="D172" s="24"/>
      <c r="G172" s="24"/>
    </row>
    <row r="173" ht="15.75" customHeight="1">
      <c r="B173" s="24"/>
      <c r="D173" s="24"/>
      <c r="G173" s="24"/>
    </row>
    <row r="174" ht="15.75" customHeight="1">
      <c r="B174" s="24"/>
      <c r="D174" s="24"/>
      <c r="G174" s="24"/>
    </row>
    <row r="175" ht="15.75" customHeight="1">
      <c r="B175" s="24"/>
      <c r="D175" s="24"/>
      <c r="G175" s="24"/>
    </row>
    <row r="176" ht="15.75" customHeight="1">
      <c r="B176" s="24"/>
      <c r="D176" s="24"/>
      <c r="G176" s="24"/>
    </row>
    <row r="177" ht="15.75" customHeight="1">
      <c r="B177" s="24"/>
      <c r="D177" s="24"/>
      <c r="G177" s="24"/>
    </row>
    <row r="178" ht="15.75" customHeight="1">
      <c r="B178" s="24"/>
      <c r="D178" s="24"/>
      <c r="G178" s="24"/>
    </row>
    <row r="179" ht="15.75" customHeight="1">
      <c r="B179" s="24"/>
      <c r="D179" s="24"/>
      <c r="G179" s="24"/>
    </row>
    <row r="180" ht="15.75" customHeight="1">
      <c r="B180" s="24"/>
      <c r="D180" s="24"/>
      <c r="G180" s="24"/>
    </row>
    <row r="181" ht="15.75" customHeight="1">
      <c r="B181" s="24"/>
      <c r="D181" s="24"/>
      <c r="G181" s="24"/>
    </row>
    <row r="182" ht="15.75" customHeight="1">
      <c r="B182" s="24"/>
      <c r="D182" s="24"/>
      <c r="G182" s="24"/>
    </row>
    <row r="183" ht="15.75" customHeight="1">
      <c r="B183" s="24"/>
      <c r="D183" s="24"/>
      <c r="G183" s="24"/>
    </row>
    <row r="184" ht="15.75" customHeight="1">
      <c r="B184" s="24"/>
      <c r="D184" s="24"/>
      <c r="G184" s="24"/>
    </row>
    <row r="185" ht="15.75" customHeight="1">
      <c r="B185" s="24"/>
      <c r="D185" s="24"/>
      <c r="G185" s="24"/>
    </row>
    <row r="186" ht="15.75" customHeight="1">
      <c r="B186" s="24"/>
      <c r="D186" s="24"/>
      <c r="G186" s="24"/>
    </row>
    <row r="187" ht="15.75" customHeight="1">
      <c r="B187" s="24"/>
      <c r="D187" s="24"/>
      <c r="G187" s="24"/>
    </row>
    <row r="188" ht="15.75" customHeight="1">
      <c r="B188" s="24"/>
      <c r="D188" s="24"/>
      <c r="G188" s="24"/>
    </row>
    <row r="189" ht="15.75" customHeight="1">
      <c r="B189" s="24"/>
      <c r="D189" s="24"/>
      <c r="G189" s="24"/>
    </row>
    <row r="190" ht="15.75" customHeight="1">
      <c r="B190" s="24"/>
      <c r="D190" s="24"/>
      <c r="G190" s="24"/>
    </row>
    <row r="191" ht="15.75" customHeight="1">
      <c r="B191" s="24"/>
      <c r="D191" s="24"/>
      <c r="G191" s="24"/>
    </row>
    <row r="192" ht="15.75" customHeight="1">
      <c r="B192" s="24"/>
      <c r="D192" s="24"/>
      <c r="G192" s="24"/>
    </row>
    <row r="193" ht="15.75" customHeight="1">
      <c r="B193" s="24"/>
      <c r="D193" s="24"/>
      <c r="G193" s="24"/>
    </row>
    <row r="194" ht="15.75" customHeight="1">
      <c r="B194" s="24"/>
      <c r="D194" s="24"/>
      <c r="G194" s="24"/>
    </row>
    <row r="195" ht="15.75" customHeight="1">
      <c r="B195" s="24"/>
      <c r="D195" s="24"/>
      <c r="G195" s="24"/>
    </row>
    <row r="196" ht="15.75" customHeight="1">
      <c r="B196" s="24"/>
      <c r="D196" s="24"/>
      <c r="G196" s="24"/>
    </row>
    <row r="197" ht="15.75" customHeight="1">
      <c r="B197" s="24"/>
      <c r="D197" s="24"/>
      <c r="G197" s="24"/>
    </row>
    <row r="198" ht="15.75" customHeight="1">
      <c r="B198" s="24"/>
      <c r="D198" s="24"/>
      <c r="G198" s="24"/>
    </row>
    <row r="199" ht="15.75" customHeight="1">
      <c r="B199" s="24"/>
      <c r="D199" s="24"/>
      <c r="G199" s="24"/>
    </row>
    <row r="200" ht="15.75" customHeight="1">
      <c r="B200" s="24"/>
      <c r="D200" s="24"/>
      <c r="G200" s="24"/>
    </row>
    <row r="201" ht="15.75" customHeight="1">
      <c r="B201" s="24"/>
      <c r="D201" s="24"/>
      <c r="G201" s="24"/>
    </row>
    <row r="202" ht="15.75" customHeight="1">
      <c r="B202" s="24"/>
      <c r="D202" s="24"/>
      <c r="G202" s="24"/>
    </row>
    <row r="203" ht="15.75" customHeight="1">
      <c r="B203" s="24"/>
      <c r="D203" s="24"/>
      <c r="G203" s="24"/>
    </row>
    <row r="204" ht="15.75" customHeight="1">
      <c r="B204" s="24"/>
      <c r="D204" s="24"/>
      <c r="G204" s="24"/>
    </row>
    <row r="205" ht="15.75" customHeight="1">
      <c r="B205" s="24"/>
      <c r="D205" s="24"/>
      <c r="G205" s="24"/>
    </row>
    <row r="206" ht="15.75" customHeight="1">
      <c r="B206" s="24"/>
      <c r="D206" s="24"/>
      <c r="G206" s="24"/>
    </row>
    <row r="207" ht="15.75" customHeight="1">
      <c r="B207" s="24"/>
      <c r="D207" s="24"/>
      <c r="G207" s="24"/>
    </row>
    <row r="208" ht="15.75" customHeight="1">
      <c r="B208" s="24"/>
      <c r="D208" s="24"/>
      <c r="G208" s="24"/>
    </row>
    <row r="209" ht="15.75" customHeight="1">
      <c r="B209" s="24"/>
      <c r="D209" s="24"/>
      <c r="G209" s="24"/>
    </row>
    <row r="210" ht="15.75" customHeight="1">
      <c r="B210" s="24"/>
      <c r="D210" s="24"/>
      <c r="G210" s="24"/>
    </row>
    <row r="211" ht="15.75" customHeight="1">
      <c r="B211" s="24"/>
      <c r="D211" s="24"/>
      <c r="G211" s="24"/>
    </row>
    <row r="212" ht="15.75" customHeight="1">
      <c r="B212" s="24"/>
      <c r="D212" s="24"/>
      <c r="G212" s="24"/>
    </row>
    <row r="213" ht="15.75" customHeight="1">
      <c r="B213" s="24"/>
      <c r="D213" s="24"/>
      <c r="G213" s="24"/>
    </row>
    <row r="214" ht="15.75" customHeight="1">
      <c r="B214" s="24"/>
      <c r="D214" s="24"/>
      <c r="G214" s="24"/>
    </row>
    <row r="215" ht="15.75" customHeight="1">
      <c r="B215" s="24"/>
      <c r="D215" s="24"/>
      <c r="G215" s="24"/>
    </row>
    <row r="216" ht="15.75" customHeight="1">
      <c r="B216" s="24"/>
      <c r="D216" s="24"/>
      <c r="G216" s="24"/>
    </row>
    <row r="217" ht="15.75" customHeight="1">
      <c r="B217" s="24"/>
      <c r="D217" s="24"/>
      <c r="G217" s="24"/>
    </row>
    <row r="218" ht="15.75" customHeight="1">
      <c r="B218" s="24"/>
      <c r="D218" s="24"/>
      <c r="G218" s="24"/>
    </row>
    <row r="219" ht="15.75" customHeight="1">
      <c r="B219" s="24"/>
      <c r="D219" s="24"/>
      <c r="G219" s="24"/>
    </row>
    <row r="220" ht="15.75" customHeight="1">
      <c r="B220" s="24"/>
      <c r="D220" s="24"/>
      <c r="G220" s="24"/>
    </row>
    <row r="221" ht="15.75" customHeight="1">
      <c r="B221" s="24"/>
      <c r="D221" s="24"/>
      <c r="G221" s="24"/>
    </row>
    <row r="222" ht="15.75" customHeight="1">
      <c r="B222" s="24"/>
      <c r="D222" s="24"/>
      <c r="G222" s="24"/>
    </row>
    <row r="223" ht="15.75" customHeight="1">
      <c r="B223" s="24"/>
      <c r="D223" s="24"/>
      <c r="G223" s="24"/>
    </row>
    <row r="224" ht="15.75" customHeight="1">
      <c r="B224" s="24"/>
      <c r="D224" s="24"/>
      <c r="G224" s="24"/>
    </row>
    <row r="225" ht="15.75" customHeight="1">
      <c r="B225" s="24"/>
      <c r="D225" s="24"/>
      <c r="G225" s="24"/>
    </row>
    <row r="226" ht="15.75" customHeight="1">
      <c r="B226" s="24"/>
      <c r="D226" s="24"/>
      <c r="G226" s="24"/>
    </row>
    <row r="227" ht="15.75" customHeight="1">
      <c r="B227" s="24"/>
      <c r="D227" s="24"/>
      <c r="G227" s="24"/>
    </row>
    <row r="228" ht="15.75" customHeight="1">
      <c r="B228" s="24"/>
      <c r="D228" s="24"/>
      <c r="G228" s="24"/>
    </row>
    <row r="229" ht="15.75" customHeight="1">
      <c r="B229" s="24"/>
      <c r="D229" s="24"/>
      <c r="G229" s="24"/>
    </row>
    <row r="230" ht="15.75" customHeight="1">
      <c r="B230" s="24"/>
      <c r="D230" s="24"/>
      <c r="G230" s="24"/>
    </row>
    <row r="231" ht="15.75" customHeight="1">
      <c r="B231" s="24"/>
      <c r="D231" s="24"/>
      <c r="G231" s="24"/>
    </row>
    <row r="232" ht="15.75" customHeight="1">
      <c r="B232" s="24"/>
      <c r="D232" s="24"/>
      <c r="G232" s="24"/>
    </row>
    <row r="233" ht="15.75" customHeight="1">
      <c r="B233" s="24"/>
      <c r="D233" s="24"/>
      <c r="G233" s="24"/>
    </row>
    <row r="234" ht="15.75" customHeight="1">
      <c r="B234" s="24"/>
      <c r="D234" s="24"/>
      <c r="G234" s="24"/>
    </row>
    <row r="235" ht="15.75" customHeight="1">
      <c r="B235" s="24"/>
      <c r="D235" s="24"/>
      <c r="G235" s="24"/>
    </row>
    <row r="236" ht="15.75" customHeight="1">
      <c r="B236" s="24"/>
      <c r="D236" s="24"/>
      <c r="G236" s="24"/>
    </row>
    <row r="237" ht="15.75" customHeight="1">
      <c r="B237" s="24"/>
      <c r="D237" s="24"/>
      <c r="G237" s="24"/>
    </row>
    <row r="238" ht="15.75" customHeight="1">
      <c r="B238" s="24"/>
      <c r="D238" s="24"/>
      <c r="G238" s="24"/>
    </row>
    <row r="239" ht="15.75" customHeight="1">
      <c r="B239" s="24"/>
      <c r="D239" s="24"/>
      <c r="G239" s="24"/>
    </row>
    <row r="240" ht="15.75" customHeight="1">
      <c r="B240" s="24"/>
      <c r="D240" s="24"/>
      <c r="G240" s="24"/>
    </row>
    <row r="241" ht="15.75" customHeight="1">
      <c r="B241" s="24"/>
      <c r="D241" s="24"/>
      <c r="G241" s="24"/>
    </row>
    <row r="242" ht="15.75" customHeight="1">
      <c r="B242" s="24"/>
      <c r="D242" s="24"/>
      <c r="G242" s="24"/>
    </row>
    <row r="243" ht="15.75" customHeight="1">
      <c r="B243" s="24"/>
      <c r="D243" s="24"/>
      <c r="G243" s="24"/>
    </row>
    <row r="244" ht="15.75" customHeight="1">
      <c r="B244" s="24"/>
      <c r="D244" s="24"/>
      <c r="G244" s="24"/>
    </row>
    <row r="245" ht="15.75" customHeight="1">
      <c r="B245" s="24"/>
      <c r="D245" s="24"/>
      <c r="G245" s="24"/>
    </row>
    <row r="246" ht="15.75" customHeight="1">
      <c r="B246" s="24"/>
      <c r="D246" s="24"/>
      <c r="G246" s="24"/>
    </row>
    <row r="247" ht="15.75" customHeight="1">
      <c r="B247" s="24"/>
      <c r="D247" s="24"/>
      <c r="G247" s="24"/>
    </row>
    <row r="248" ht="15.75" customHeight="1">
      <c r="B248" s="24"/>
      <c r="D248" s="24"/>
      <c r="G248" s="24"/>
    </row>
    <row r="249" ht="15.75" customHeight="1">
      <c r="B249" s="24"/>
      <c r="D249" s="24"/>
      <c r="G249" s="24"/>
    </row>
    <row r="250" ht="15.75" customHeight="1">
      <c r="B250" s="24"/>
      <c r="D250" s="24"/>
      <c r="G250" s="24"/>
    </row>
    <row r="251" ht="15.75" customHeight="1">
      <c r="B251" s="24"/>
      <c r="D251" s="24"/>
      <c r="G251" s="24"/>
    </row>
    <row r="252" ht="15.75" customHeight="1">
      <c r="B252" s="24"/>
      <c r="D252" s="24"/>
      <c r="G252" s="24"/>
    </row>
    <row r="253" ht="15.75" customHeight="1">
      <c r="B253" s="24"/>
      <c r="D253" s="24"/>
      <c r="G253" s="24"/>
    </row>
    <row r="254" ht="15.75" customHeight="1">
      <c r="B254" s="24"/>
      <c r="D254" s="24"/>
      <c r="G254" s="24"/>
    </row>
    <row r="255" ht="15.75" customHeight="1">
      <c r="B255" s="24"/>
      <c r="D255" s="24"/>
      <c r="G255" s="24"/>
    </row>
    <row r="256" ht="15.75" customHeight="1">
      <c r="B256" s="24"/>
      <c r="D256" s="24"/>
      <c r="G256" s="24"/>
    </row>
    <row r="257" ht="15.75" customHeight="1">
      <c r="B257" s="24"/>
      <c r="D257" s="24"/>
      <c r="G257" s="24"/>
    </row>
    <row r="258" ht="15.75" customHeight="1">
      <c r="B258" s="24"/>
      <c r="D258" s="24"/>
      <c r="G258" s="24"/>
    </row>
    <row r="259" ht="15.75" customHeight="1">
      <c r="B259" s="24"/>
      <c r="D259" s="24"/>
      <c r="G259" s="24"/>
    </row>
    <row r="260" ht="15.75" customHeight="1">
      <c r="B260" s="24"/>
      <c r="D260" s="24"/>
      <c r="G260" s="24"/>
    </row>
    <row r="261" ht="15.75" customHeight="1">
      <c r="B261" s="24"/>
      <c r="D261" s="24"/>
      <c r="G261" s="24"/>
    </row>
    <row r="262" ht="15.75" customHeight="1">
      <c r="B262" s="24"/>
      <c r="D262" s="24"/>
      <c r="G262" s="24"/>
    </row>
    <row r="263" ht="15.75" customHeight="1">
      <c r="B263" s="24"/>
      <c r="D263" s="24"/>
      <c r="G263" s="24"/>
    </row>
    <row r="264" ht="15.75" customHeight="1">
      <c r="B264" s="24"/>
      <c r="D264" s="24"/>
      <c r="G264" s="24"/>
    </row>
    <row r="265" ht="15.75" customHeight="1">
      <c r="B265" s="24"/>
      <c r="D265" s="24"/>
      <c r="G265" s="24"/>
    </row>
    <row r="266" ht="15.75" customHeight="1">
      <c r="B266" s="24"/>
      <c r="D266" s="24"/>
      <c r="G266" s="24"/>
    </row>
    <row r="267" ht="15.75" customHeight="1">
      <c r="B267" s="24"/>
      <c r="D267" s="24"/>
      <c r="G267" s="24"/>
    </row>
    <row r="268" ht="15.75" customHeight="1">
      <c r="B268" s="24"/>
      <c r="D268" s="24"/>
      <c r="G268" s="24"/>
    </row>
    <row r="269" ht="15.75" customHeight="1">
      <c r="B269" s="24"/>
      <c r="D269" s="24"/>
      <c r="G269" s="24"/>
    </row>
    <row r="270" ht="15.75" customHeight="1">
      <c r="B270" s="24"/>
      <c r="D270" s="24"/>
      <c r="G270" s="24"/>
    </row>
    <row r="271" ht="15.75" customHeight="1">
      <c r="B271" s="24"/>
      <c r="D271" s="24"/>
      <c r="G271" s="24"/>
    </row>
    <row r="272" ht="15.75" customHeight="1">
      <c r="B272" s="24"/>
      <c r="D272" s="24"/>
      <c r="G272" s="24"/>
    </row>
    <row r="273" ht="15.75" customHeight="1">
      <c r="B273" s="24"/>
      <c r="D273" s="24"/>
      <c r="G273" s="24"/>
    </row>
    <row r="274" ht="15.75" customHeight="1">
      <c r="B274" s="24"/>
      <c r="D274" s="24"/>
      <c r="G274" s="24"/>
    </row>
    <row r="275" ht="15.75" customHeight="1">
      <c r="B275" s="24"/>
      <c r="D275" s="24"/>
      <c r="G275" s="24"/>
    </row>
    <row r="276" ht="15.75" customHeight="1">
      <c r="B276" s="24"/>
      <c r="D276" s="24"/>
      <c r="G276" s="24"/>
    </row>
    <row r="277" ht="15.75" customHeight="1">
      <c r="B277" s="24"/>
      <c r="D277" s="24"/>
      <c r="G277" s="24"/>
    </row>
    <row r="278" ht="15.75" customHeight="1">
      <c r="B278" s="24"/>
      <c r="D278" s="24"/>
      <c r="G278" s="24"/>
    </row>
    <row r="279" ht="15.75" customHeight="1">
      <c r="B279" s="24"/>
      <c r="D279" s="24"/>
      <c r="G279" s="24"/>
    </row>
    <row r="280" ht="15.75" customHeight="1">
      <c r="B280" s="24"/>
      <c r="D280" s="24"/>
      <c r="G280" s="24"/>
    </row>
    <row r="281" ht="15.75" customHeight="1">
      <c r="B281" s="24"/>
      <c r="D281" s="24"/>
      <c r="G281" s="24"/>
    </row>
    <row r="282" ht="15.75" customHeight="1">
      <c r="B282" s="24"/>
      <c r="D282" s="24"/>
      <c r="G282" s="24"/>
    </row>
    <row r="283" ht="15.75" customHeight="1">
      <c r="B283" s="24"/>
      <c r="D283" s="24"/>
      <c r="G283" s="24"/>
    </row>
    <row r="284" ht="15.75" customHeight="1">
      <c r="B284" s="24"/>
      <c r="D284" s="24"/>
      <c r="G284" s="24"/>
    </row>
    <row r="285" ht="15.75" customHeight="1">
      <c r="B285" s="24"/>
      <c r="D285" s="24"/>
      <c r="G285" s="24"/>
    </row>
    <row r="286" ht="15.75" customHeight="1">
      <c r="B286" s="24"/>
      <c r="D286" s="24"/>
      <c r="G286" s="24"/>
    </row>
    <row r="287" ht="15.75" customHeight="1">
      <c r="B287" s="24"/>
      <c r="D287" s="24"/>
      <c r="G287" s="24"/>
    </row>
    <row r="288" ht="15.75" customHeight="1">
      <c r="B288" s="24"/>
      <c r="D288" s="24"/>
      <c r="G288" s="24"/>
    </row>
    <row r="289" ht="15.75" customHeight="1">
      <c r="B289" s="24"/>
      <c r="D289" s="24"/>
      <c r="G289" s="24"/>
    </row>
    <row r="290" ht="15.75" customHeight="1">
      <c r="B290" s="24"/>
      <c r="D290" s="24"/>
      <c r="G290" s="24"/>
    </row>
    <row r="291" ht="15.75" customHeight="1">
      <c r="B291" s="24"/>
      <c r="D291" s="24"/>
      <c r="G291" s="24"/>
    </row>
    <row r="292" ht="15.75" customHeight="1">
      <c r="B292" s="24"/>
      <c r="D292" s="24"/>
      <c r="G292" s="24"/>
    </row>
    <row r="293" ht="15.75" customHeight="1">
      <c r="B293" s="24"/>
      <c r="D293" s="24"/>
      <c r="G293" s="24"/>
    </row>
    <row r="294" ht="15.75" customHeight="1">
      <c r="B294" s="24"/>
      <c r="D294" s="24"/>
      <c r="G294" s="24"/>
    </row>
    <row r="295" ht="15.75" customHeight="1">
      <c r="B295" s="24"/>
      <c r="D295" s="24"/>
      <c r="G295" s="24"/>
    </row>
    <row r="296" ht="15.75" customHeight="1">
      <c r="B296" s="24"/>
      <c r="D296" s="24"/>
      <c r="G296" s="24"/>
    </row>
    <row r="297" ht="15.75" customHeight="1">
      <c r="B297" s="24"/>
      <c r="D297" s="24"/>
      <c r="G297" s="24"/>
    </row>
    <row r="298" ht="15.75" customHeight="1">
      <c r="B298" s="24"/>
      <c r="D298" s="24"/>
      <c r="G298" s="24"/>
    </row>
    <row r="299" ht="15.75" customHeight="1">
      <c r="B299" s="24"/>
      <c r="D299" s="24"/>
      <c r="G299" s="24"/>
    </row>
    <row r="300" ht="15.75" customHeight="1">
      <c r="B300" s="24"/>
      <c r="D300" s="24"/>
      <c r="G300" s="24"/>
    </row>
    <row r="301" ht="15.75" customHeight="1">
      <c r="B301" s="24"/>
      <c r="D301" s="24"/>
      <c r="G301" s="24"/>
    </row>
    <row r="302" ht="15.75" customHeight="1">
      <c r="B302" s="24"/>
      <c r="D302" s="24"/>
      <c r="G302" s="24"/>
    </row>
    <row r="303" ht="15.75" customHeight="1">
      <c r="B303" s="24"/>
      <c r="D303" s="24"/>
      <c r="G303" s="24"/>
    </row>
    <row r="304" ht="15.75" customHeight="1">
      <c r="B304" s="24"/>
      <c r="D304" s="24"/>
      <c r="G304" s="24"/>
    </row>
    <row r="305" ht="15.75" customHeight="1">
      <c r="B305" s="24"/>
      <c r="D305" s="24"/>
      <c r="G305" s="24"/>
    </row>
    <row r="306" ht="15.75" customHeight="1">
      <c r="B306" s="24"/>
      <c r="D306" s="24"/>
      <c r="G306" s="24"/>
    </row>
    <row r="307" ht="15.75" customHeight="1">
      <c r="B307" s="24"/>
      <c r="D307" s="24"/>
      <c r="G307" s="24"/>
    </row>
    <row r="308" ht="15.75" customHeight="1">
      <c r="B308" s="24"/>
      <c r="D308" s="24"/>
      <c r="G308" s="24"/>
    </row>
    <row r="309" ht="15.75" customHeight="1">
      <c r="B309" s="24"/>
      <c r="D309" s="24"/>
      <c r="G309" s="24"/>
    </row>
    <row r="310" ht="15.75" customHeight="1">
      <c r="B310" s="24"/>
      <c r="D310" s="24"/>
      <c r="G310" s="24"/>
    </row>
    <row r="311" ht="15.75" customHeight="1">
      <c r="B311" s="24"/>
      <c r="D311" s="24"/>
      <c r="G311" s="24"/>
    </row>
    <row r="312" ht="15.75" customHeight="1">
      <c r="B312" s="24"/>
      <c r="D312" s="24"/>
      <c r="G312" s="24"/>
    </row>
    <row r="313" ht="15.75" customHeight="1">
      <c r="B313" s="24"/>
      <c r="D313" s="24"/>
      <c r="G313" s="24"/>
    </row>
    <row r="314" ht="15.75" customHeight="1">
      <c r="B314" s="24"/>
      <c r="D314" s="24"/>
      <c r="G314" s="24"/>
    </row>
    <row r="315" ht="15.75" customHeight="1">
      <c r="B315" s="24"/>
      <c r="D315" s="24"/>
      <c r="G315" s="24"/>
    </row>
    <row r="316" ht="15.75" customHeight="1">
      <c r="B316" s="24"/>
      <c r="D316" s="24"/>
      <c r="G316" s="24"/>
    </row>
    <row r="317" ht="15.75" customHeight="1">
      <c r="B317" s="24"/>
      <c r="D317" s="24"/>
      <c r="G317" s="24"/>
    </row>
    <row r="318" ht="15.75" customHeight="1">
      <c r="B318" s="24"/>
      <c r="D318" s="24"/>
      <c r="G318" s="24"/>
    </row>
    <row r="319" ht="15.75" customHeight="1">
      <c r="B319" s="24"/>
      <c r="D319" s="24"/>
      <c r="G319" s="24"/>
    </row>
    <row r="320" ht="15.75" customHeight="1">
      <c r="B320" s="24"/>
      <c r="D320" s="24"/>
      <c r="G320" s="24"/>
    </row>
    <row r="321" ht="15.75" customHeight="1">
      <c r="B321" s="24"/>
      <c r="D321" s="24"/>
      <c r="G321" s="24"/>
    </row>
    <row r="322" ht="15.75" customHeight="1">
      <c r="B322" s="24"/>
      <c r="D322" s="24"/>
      <c r="G322" s="24"/>
    </row>
    <row r="323" ht="15.75" customHeight="1">
      <c r="B323" s="24"/>
      <c r="D323" s="24"/>
      <c r="G323" s="24"/>
    </row>
    <row r="324" ht="15.75" customHeight="1">
      <c r="B324" s="24"/>
      <c r="D324" s="24"/>
      <c r="G324" s="24"/>
    </row>
    <row r="325" ht="15.75" customHeight="1">
      <c r="B325" s="24"/>
      <c r="D325" s="24"/>
      <c r="G325" s="24"/>
    </row>
    <row r="326" ht="15.75" customHeight="1">
      <c r="B326" s="24"/>
      <c r="D326" s="24"/>
      <c r="G326" s="24"/>
    </row>
    <row r="327" ht="15.75" customHeight="1">
      <c r="B327" s="24"/>
      <c r="D327" s="24"/>
      <c r="G327" s="24"/>
    </row>
    <row r="328" ht="15.75" customHeight="1">
      <c r="B328" s="24"/>
      <c r="D328" s="24"/>
      <c r="G328" s="24"/>
    </row>
    <row r="329" ht="15.75" customHeight="1">
      <c r="B329" s="24"/>
      <c r="D329" s="24"/>
      <c r="G329" s="24"/>
    </row>
    <row r="330" ht="15.75" customHeight="1">
      <c r="B330" s="24"/>
      <c r="D330" s="24"/>
      <c r="G330" s="24"/>
    </row>
    <row r="331" ht="15.75" customHeight="1">
      <c r="B331" s="24"/>
      <c r="D331" s="24"/>
      <c r="G331" s="24"/>
    </row>
    <row r="332" ht="15.75" customHeight="1">
      <c r="B332" s="24"/>
      <c r="D332" s="24"/>
      <c r="G332" s="24"/>
    </row>
    <row r="333" ht="15.75" customHeight="1">
      <c r="B333" s="24"/>
      <c r="D333" s="24"/>
      <c r="G333" s="24"/>
    </row>
    <row r="334" ht="15.75" customHeight="1">
      <c r="B334" s="24"/>
      <c r="D334" s="24"/>
      <c r="G334" s="24"/>
    </row>
    <row r="335" ht="15.75" customHeight="1">
      <c r="B335" s="24"/>
      <c r="D335" s="24"/>
      <c r="G335" s="24"/>
    </row>
    <row r="336" ht="15.75" customHeight="1">
      <c r="B336" s="24"/>
      <c r="D336" s="24"/>
      <c r="G336" s="24"/>
    </row>
    <row r="337" ht="15.75" customHeight="1">
      <c r="B337" s="24"/>
      <c r="D337" s="24"/>
      <c r="G337" s="24"/>
    </row>
    <row r="338" ht="15.75" customHeight="1">
      <c r="B338" s="24"/>
      <c r="D338" s="24"/>
      <c r="G338" s="24"/>
    </row>
    <row r="339" ht="15.75" customHeight="1">
      <c r="B339" s="24"/>
      <c r="D339" s="24"/>
      <c r="G339" s="24"/>
    </row>
    <row r="340" ht="15.75" customHeight="1">
      <c r="B340" s="24"/>
      <c r="D340" s="24"/>
      <c r="G340" s="24"/>
    </row>
    <row r="341" ht="15.75" customHeight="1">
      <c r="B341" s="24"/>
      <c r="D341" s="24"/>
      <c r="G341" s="24"/>
    </row>
    <row r="342" ht="15.75" customHeight="1">
      <c r="B342" s="24"/>
      <c r="D342" s="24"/>
      <c r="G342" s="24"/>
    </row>
    <row r="343" ht="15.75" customHeight="1">
      <c r="B343" s="24"/>
      <c r="D343" s="24"/>
      <c r="G343" s="24"/>
    </row>
    <row r="344" ht="15.75" customHeight="1">
      <c r="B344" s="24"/>
      <c r="D344" s="24"/>
      <c r="G344" s="24"/>
    </row>
    <row r="345" ht="15.75" customHeight="1">
      <c r="B345" s="24"/>
      <c r="D345" s="24"/>
      <c r="G345" s="24"/>
    </row>
    <row r="346" ht="15.75" customHeight="1">
      <c r="B346" s="24"/>
      <c r="D346" s="24"/>
      <c r="G346" s="24"/>
    </row>
    <row r="347" ht="15.75" customHeight="1">
      <c r="B347" s="24"/>
      <c r="D347" s="24"/>
      <c r="G347" s="24"/>
    </row>
    <row r="348" ht="15.75" customHeight="1">
      <c r="B348" s="24"/>
      <c r="D348" s="24"/>
      <c r="G348" s="24"/>
    </row>
    <row r="349" ht="15.75" customHeight="1">
      <c r="B349" s="24"/>
      <c r="D349" s="24"/>
      <c r="G349" s="24"/>
    </row>
    <row r="350" ht="15.75" customHeight="1">
      <c r="B350" s="24"/>
      <c r="D350" s="24"/>
      <c r="G350" s="24"/>
    </row>
    <row r="351" ht="15.75" customHeight="1">
      <c r="B351" s="24"/>
      <c r="D351" s="24"/>
      <c r="G351" s="24"/>
    </row>
    <row r="352" ht="15.75" customHeight="1">
      <c r="B352" s="24"/>
      <c r="D352" s="24"/>
      <c r="G352" s="24"/>
    </row>
    <row r="353" ht="15.75" customHeight="1">
      <c r="B353" s="24"/>
      <c r="D353" s="24"/>
      <c r="G353" s="24"/>
    </row>
    <row r="354" ht="15.75" customHeight="1">
      <c r="B354" s="24"/>
      <c r="D354" s="24"/>
      <c r="G354" s="24"/>
    </row>
    <row r="355" ht="15.75" customHeight="1">
      <c r="B355" s="24"/>
      <c r="D355" s="24"/>
      <c r="G355" s="24"/>
    </row>
    <row r="356" ht="15.75" customHeight="1">
      <c r="B356" s="24"/>
      <c r="D356" s="24"/>
      <c r="G356" s="24"/>
    </row>
    <row r="357" ht="15.75" customHeight="1">
      <c r="B357" s="24"/>
      <c r="D357" s="24"/>
      <c r="G357" s="24"/>
    </row>
    <row r="358" ht="15.75" customHeight="1">
      <c r="B358" s="24"/>
      <c r="D358" s="24"/>
      <c r="G358" s="24"/>
    </row>
    <row r="359" ht="15.75" customHeight="1">
      <c r="B359" s="24"/>
      <c r="D359" s="24"/>
      <c r="G359" s="24"/>
    </row>
    <row r="360" ht="15.75" customHeight="1">
      <c r="B360" s="24"/>
      <c r="D360" s="24"/>
      <c r="G360" s="24"/>
    </row>
    <row r="361" ht="15.75" customHeight="1">
      <c r="B361" s="24"/>
      <c r="D361" s="24"/>
      <c r="G361" s="24"/>
    </row>
    <row r="362" ht="15.75" customHeight="1">
      <c r="B362" s="24"/>
      <c r="D362" s="24"/>
      <c r="G362" s="24"/>
    </row>
    <row r="363" ht="15.75" customHeight="1">
      <c r="B363" s="24"/>
      <c r="D363" s="24"/>
      <c r="G363" s="24"/>
    </row>
    <row r="364" ht="15.75" customHeight="1">
      <c r="B364" s="24"/>
      <c r="D364" s="24"/>
      <c r="G364" s="24"/>
    </row>
    <row r="365" ht="15.75" customHeight="1">
      <c r="B365" s="24"/>
      <c r="D365" s="24"/>
      <c r="G365" s="24"/>
    </row>
    <row r="366" ht="15.75" customHeight="1">
      <c r="B366" s="24"/>
      <c r="D366" s="24"/>
      <c r="G366" s="24"/>
    </row>
    <row r="367" ht="15.75" customHeight="1">
      <c r="B367" s="24"/>
      <c r="D367" s="24"/>
      <c r="G367" s="24"/>
    </row>
    <row r="368" ht="15.75" customHeight="1">
      <c r="B368" s="24"/>
      <c r="D368" s="24"/>
      <c r="G368" s="24"/>
    </row>
    <row r="369" ht="15.75" customHeight="1">
      <c r="B369" s="24"/>
      <c r="D369" s="24"/>
      <c r="G369" s="24"/>
    </row>
    <row r="370" ht="15.75" customHeight="1">
      <c r="B370" s="24"/>
      <c r="D370" s="24"/>
      <c r="G370" s="24"/>
    </row>
    <row r="371" ht="15.75" customHeight="1">
      <c r="B371" s="24"/>
      <c r="D371" s="24"/>
      <c r="G371" s="24"/>
    </row>
    <row r="372" ht="15.75" customHeight="1">
      <c r="B372" s="24"/>
      <c r="D372" s="24"/>
      <c r="G372" s="24"/>
    </row>
    <row r="373" ht="15.75" customHeight="1">
      <c r="B373" s="24"/>
      <c r="D373" s="24"/>
      <c r="G373" s="24"/>
    </row>
    <row r="374" ht="15.75" customHeight="1">
      <c r="B374" s="24"/>
      <c r="D374" s="24"/>
      <c r="G374" s="24"/>
    </row>
    <row r="375" ht="15.75" customHeight="1">
      <c r="B375" s="24"/>
      <c r="D375" s="24"/>
      <c r="G375" s="24"/>
    </row>
    <row r="376" ht="15.75" customHeight="1">
      <c r="B376" s="24"/>
      <c r="D376" s="24"/>
      <c r="G376" s="24"/>
    </row>
    <row r="377" ht="15.75" customHeight="1">
      <c r="B377" s="24"/>
      <c r="D377" s="24"/>
      <c r="G377" s="24"/>
    </row>
    <row r="378" ht="15.75" customHeight="1">
      <c r="B378" s="24"/>
      <c r="D378" s="24"/>
      <c r="G378" s="24"/>
    </row>
    <row r="379" ht="15.75" customHeight="1">
      <c r="B379" s="24"/>
      <c r="D379" s="24"/>
      <c r="G379" s="24"/>
    </row>
    <row r="380" ht="15.75" customHeight="1">
      <c r="B380" s="24"/>
      <c r="D380" s="24"/>
      <c r="G380" s="24"/>
    </row>
    <row r="381" ht="15.75" customHeight="1">
      <c r="B381" s="24"/>
      <c r="D381" s="24"/>
      <c r="G381" s="24"/>
    </row>
    <row r="382" ht="15.75" customHeight="1">
      <c r="B382" s="24"/>
      <c r="D382" s="24"/>
      <c r="G382" s="24"/>
    </row>
    <row r="383" ht="15.75" customHeight="1">
      <c r="B383" s="24"/>
      <c r="D383" s="24"/>
      <c r="G383" s="24"/>
    </row>
    <row r="384" ht="15.75" customHeight="1">
      <c r="B384" s="24"/>
      <c r="D384" s="24"/>
      <c r="G384" s="24"/>
    </row>
    <row r="385" ht="15.75" customHeight="1">
      <c r="B385" s="24"/>
      <c r="D385" s="24"/>
      <c r="G385" s="24"/>
    </row>
    <row r="386" ht="15.75" customHeight="1">
      <c r="B386" s="24"/>
      <c r="D386" s="24"/>
      <c r="G386" s="24"/>
    </row>
    <row r="387" ht="15.75" customHeight="1">
      <c r="B387" s="24"/>
      <c r="D387" s="24"/>
      <c r="G387" s="24"/>
    </row>
    <row r="388" ht="15.75" customHeight="1">
      <c r="B388" s="24"/>
      <c r="D388" s="24"/>
      <c r="G388" s="24"/>
    </row>
    <row r="389" ht="15.75" customHeight="1">
      <c r="B389" s="24"/>
      <c r="D389" s="24"/>
      <c r="G389" s="24"/>
    </row>
    <row r="390" ht="15.75" customHeight="1">
      <c r="B390" s="24"/>
      <c r="D390" s="24"/>
      <c r="G390" s="24"/>
    </row>
    <row r="391" ht="15.75" customHeight="1">
      <c r="B391" s="24"/>
      <c r="D391" s="24"/>
      <c r="G391" s="24"/>
    </row>
    <row r="392" ht="15.75" customHeight="1">
      <c r="B392" s="24"/>
      <c r="D392" s="24"/>
      <c r="G392" s="24"/>
    </row>
    <row r="393" ht="15.75" customHeight="1">
      <c r="B393" s="24"/>
      <c r="D393" s="24"/>
      <c r="G393" s="24"/>
    </row>
    <row r="394" ht="15.75" customHeight="1">
      <c r="B394" s="24"/>
      <c r="D394" s="24"/>
      <c r="G394" s="24"/>
    </row>
    <row r="395" ht="15.75" customHeight="1">
      <c r="B395" s="24"/>
      <c r="D395" s="24"/>
      <c r="G395" s="24"/>
    </row>
    <row r="396" ht="15.75" customHeight="1">
      <c r="B396" s="24"/>
      <c r="D396" s="24"/>
      <c r="G396" s="24"/>
    </row>
    <row r="397" ht="15.75" customHeight="1">
      <c r="B397" s="24"/>
      <c r="D397" s="24"/>
      <c r="G397" s="24"/>
    </row>
    <row r="398" ht="15.75" customHeight="1">
      <c r="B398" s="24"/>
      <c r="D398" s="24"/>
      <c r="G398" s="24"/>
    </row>
    <row r="399" ht="15.75" customHeight="1">
      <c r="B399" s="24"/>
      <c r="D399" s="24"/>
      <c r="G399" s="24"/>
    </row>
    <row r="400" ht="15.75" customHeight="1">
      <c r="B400" s="24"/>
      <c r="D400" s="24"/>
      <c r="G400" s="24"/>
    </row>
    <row r="401" ht="15.75" customHeight="1">
      <c r="B401" s="24"/>
      <c r="D401" s="24"/>
      <c r="G401" s="24"/>
    </row>
    <row r="402" ht="15.75" customHeight="1">
      <c r="B402" s="24"/>
      <c r="D402" s="24"/>
      <c r="G402" s="24"/>
    </row>
    <row r="403" ht="15.75" customHeight="1">
      <c r="B403" s="24"/>
      <c r="D403" s="24"/>
      <c r="G403" s="24"/>
    </row>
    <row r="404" ht="15.75" customHeight="1">
      <c r="B404" s="24"/>
      <c r="D404" s="24"/>
      <c r="G404" s="24"/>
    </row>
    <row r="405" ht="15.75" customHeight="1">
      <c r="B405" s="24"/>
      <c r="D405" s="24"/>
      <c r="G405" s="24"/>
    </row>
    <row r="406" ht="15.75" customHeight="1">
      <c r="B406" s="24"/>
      <c r="D406" s="24"/>
      <c r="G406" s="24"/>
    </row>
    <row r="407" ht="15.75" customHeight="1">
      <c r="B407" s="24"/>
      <c r="D407" s="24"/>
      <c r="G407" s="24"/>
    </row>
    <row r="408" ht="15.75" customHeight="1">
      <c r="B408" s="24"/>
      <c r="D408" s="24"/>
      <c r="G408" s="24"/>
    </row>
    <row r="409" ht="15.75" customHeight="1">
      <c r="B409" s="24"/>
      <c r="D409" s="24"/>
      <c r="G409" s="24"/>
    </row>
    <row r="410" ht="15.75" customHeight="1">
      <c r="B410" s="24"/>
      <c r="D410" s="24"/>
      <c r="G410" s="24"/>
    </row>
    <row r="411" ht="15.75" customHeight="1">
      <c r="B411" s="24"/>
      <c r="D411" s="24"/>
      <c r="G411" s="24"/>
    </row>
    <row r="412" ht="15.75" customHeight="1">
      <c r="B412" s="24"/>
      <c r="D412" s="24"/>
      <c r="G412" s="24"/>
    </row>
    <row r="413" ht="15.75" customHeight="1">
      <c r="B413" s="24"/>
      <c r="D413" s="24"/>
      <c r="G413" s="24"/>
    </row>
    <row r="414" ht="15.75" customHeight="1">
      <c r="B414" s="24"/>
      <c r="D414" s="24"/>
      <c r="G414" s="24"/>
    </row>
    <row r="415" ht="15.75" customHeight="1">
      <c r="B415" s="24"/>
      <c r="D415" s="24"/>
      <c r="G415" s="24"/>
    </row>
    <row r="416" ht="15.75" customHeight="1">
      <c r="B416" s="24"/>
      <c r="D416" s="24"/>
      <c r="G416" s="24"/>
    </row>
    <row r="417" ht="15.75" customHeight="1">
      <c r="B417" s="24"/>
      <c r="D417" s="24"/>
      <c r="G417" s="24"/>
    </row>
    <row r="418" ht="15.75" customHeight="1">
      <c r="B418" s="24"/>
      <c r="D418" s="24"/>
      <c r="G418" s="24"/>
    </row>
    <row r="419" ht="15.75" customHeight="1">
      <c r="B419" s="24"/>
      <c r="D419" s="24"/>
      <c r="G419" s="24"/>
    </row>
    <row r="420" ht="15.75" customHeight="1">
      <c r="B420" s="24"/>
      <c r="D420" s="24"/>
      <c r="G420" s="24"/>
    </row>
    <row r="421" ht="15.75" customHeight="1">
      <c r="B421" s="24"/>
      <c r="D421" s="24"/>
      <c r="G421" s="24"/>
    </row>
    <row r="422" ht="15.75" customHeight="1">
      <c r="B422" s="24"/>
      <c r="D422" s="24"/>
      <c r="G422" s="24"/>
    </row>
    <row r="423" ht="15.75" customHeight="1">
      <c r="B423" s="24"/>
      <c r="D423" s="24"/>
      <c r="G423" s="24"/>
    </row>
    <row r="424" ht="15.75" customHeight="1">
      <c r="B424" s="24"/>
      <c r="D424" s="24"/>
      <c r="G424" s="24"/>
    </row>
    <row r="425" ht="15.75" customHeight="1">
      <c r="B425" s="24"/>
      <c r="D425" s="24"/>
      <c r="G425" s="24"/>
    </row>
    <row r="426" ht="15.75" customHeight="1">
      <c r="B426" s="24"/>
      <c r="D426" s="24"/>
      <c r="G426" s="24"/>
    </row>
    <row r="427" ht="15.75" customHeight="1">
      <c r="B427" s="24"/>
      <c r="D427" s="24"/>
      <c r="G427" s="24"/>
    </row>
    <row r="428" ht="15.75" customHeight="1">
      <c r="B428" s="24"/>
      <c r="D428" s="24"/>
      <c r="G428" s="24"/>
    </row>
    <row r="429" ht="15.75" customHeight="1">
      <c r="B429" s="24"/>
      <c r="D429" s="24"/>
      <c r="G429" s="24"/>
    </row>
    <row r="430" ht="15.75" customHeight="1">
      <c r="B430" s="24"/>
      <c r="D430" s="24"/>
      <c r="G430" s="24"/>
    </row>
    <row r="431" ht="15.75" customHeight="1">
      <c r="B431" s="24"/>
      <c r="D431" s="24"/>
      <c r="G431" s="24"/>
    </row>
    <row r="432" ht="15.75" customHeight="1">
      <c r="B432" s="24"/>
      <c r="D432" s="24"/>
      <c r="G432" s="24"/>
    </row>
    <row r="433" ht="15.75" customHeight="1">
      <c r="B433" s="24"/>
      <c r="D433" s="24"/>
      <c r="G433" s="24"/>
    </row>
    <row r="434" ht="15.75" customHeight="1">
      <c r="B434" s="24"/>
      <c r="D434" s="24"/>
      <c r="G434" s="24"/>
    </row>
    <row r="435" ht="15.75" customHeight="1">
      <c r="B435" s="24"/>
      <c r="D435" s="24"/>
      <c r="G435" s="24"/>
    </row>
    <row r="436" ht="15.75" customHeight="1">
      <c r="B436" s="24"/>
      <c r="D436" s="24"/>
      <c r="G436" s="24"/>
    </row>
    <row r="437" ht="15.75" customHeight="1">
      <c r="B437" s="24"/>
      <c r="D437" s="24"/>
      <c r="G437" s="24"/>
    </row>
    <row r="438" ht="15.75" customHeight="1">
      <c r="B438" s="24"/>
      <c r="D438" s="24"/>
      <c r="G438" s="24"/>
    </row>
    <row r="439" ht="15.75" customHeight="1">
      <c r="B439" s="24"/>
      <c r="D439" s="24"/>
      <c r="G439" s="24"/>
    </row>
    <row r="440" ht="15.75" customHeight="1">
      <c r="B440" s="24"/>
      <c r="D440" s="24"/>
      <c r="G440" s="24"/>
    </row>
    <row r="441" ht="15.75" customHeight="1">
      <c r="B441" s="24"/>
      <c r="D441" s="24"/>
      <c r="G441" s="24"/>
    </row>
    <row r="442" ht="15.75" customHeight="1">
      <c r="B442" s="24"/>
      <c r="D442" s="24"/>
      <c r="G442" s="24"/>
    </row>
    <row r="443" ht="15.75" customHeight="1">
      <c r="B443" s="24"/>
      <c r="D443" s="24"/>
      <c r="G443" s="24"/>
    </row>
    <row r="444" ht="15.75" customHeight="1">
      <c r="B444" s="24"/>
      <c r="D444" s="24"/>
      <c r="G444" s="24"/>
    </row>
    <row r="445" ht="15.75" customHeight="1">
      <c r="B445" s="24"/>
      <c r="D445" s="24"/>
      <c r="G445" s="24"/>
    </row>
    <row r="446" ht="15.75" customHeight="1">
      <c r="B446" s="24"/>
      <c r="D446" s="24"/>
      <c r="G446" s="24"/>
    </row>
    <row r="447" ht="15.75" customHeight="1">
      <c r="B447" s="24"/>
      <c r="D447" s="24"/>
      <c r="G447" s="24"/>
    </row>
    <row r="448" ht="15.75" customHeight="1">
      <c r="B448" s="24"/>
      <c r="D448" s="24"/>
      <c r="G448" s="24"/>
    </row>
    <row r="449" ht="15.75" customHeight="1">
      <c r="B449" s="24"/>
      <c r="D449" s="24"/>
      <c r="G449" s="24"/>
    </row>
    <row r="450" ht="15.75" customHeight="1">
      <c r="B450" s="24"/>
      <c r="D450" s="24"/>
      <c r="G450" s="24"/>
    </row>
    <row r="451" ht="15.75" customHeight="1">
      <c r="B451" s="24"/>
      <c r="D451" s="24"/>
      <c r="G451" s="24"/>
    </row>
    <row r="452" ht="15.75" customHeight="1">
      <c r="B452" s="24"/>
      <c r="D452" s="24"/>
      <c r="G452" s="24"/>
    </row>
    <row r="453" ht="15.75" customHeight="1">
      <c r="B453" s="24"/>
      <c r="D453" s="24"/>
      <c r="G453" s="24"/>
    </row>
    <row r="454" ht="15.75" customHeight="1">
      <c r="B454" s="24"/>
      <c r="D454" s="24"/>
      <c r="G454" s="24"/>
    </row>
    <row r="455" ht="15.75" customHeight="1">
      <c r="B455" s="24"/>
      <c r="D455" s="24"/>
      <c r="G455" s="24"/>
    </row>
    <row r="456" ht="15.75" customHeight="1">
      <c r="B456" s="24"/>
      <c r="D456" s="24"/>
      <c r="G456" s="24"/>
    </row>
    <row r="457" ht="15.75" customHeight="1">
      <c r="B457" s="24"/>
      <c r="D457" s="24"/>
      <c r="G457" s="24"/>
    </row>
    <row r="458" ht="15.75" customHeight="1">
      <c r="B458" s="24"/>
      <c r="D458" s="24"/>
      <c r="G458" s="24"/>
    </row>
    <row r="459" ht="15.75" customHeight="1">
      <c r="B459" s="24"/>
      <c r="D459" s="24"/>
      <c r="G459" s="24"/>
    </row>
    <row r="460" ht="15.75" customHeight="1">
      <c r="B460" s="24"/>
      <c r="D460" s="24"/>
      <c r="G460" s="24"/>
    </row>
    <row r="461" ht="15.75" customHeight="1">
      <c r="B461" s="24"/>
      <c r="D461" s="24"/>
      <c r="G461" s="24"/>
    </row>
    <row r="462" ht="15.75" customHeight="1">
      <c r="B462" s="24"/>
      <c r="D462" s="24"/>
      <c r="G462" s="24"/>
    </row>
    <row r="463" ht="15.75" customHeight="1">
      <c r="B463" s="24"/>
      <c r="D463" s="24"/>
      <c r="G463" s="24"/>
    </row>
    <row r="464" ht="15.75" customHeight="1">
      <c r="B464" s="24"/>
      <c r="D464" s="24"/>
      <c r="G464" s="24"/>
    </row>
    <row r="465" ht="15.75" customHeight="1">
      <c r="B465" s="24"/>
      <c r="D465" s="24"/>
      <c r="G465" s="24"/>
    </row>
    <row r="466" ht="15.75" customHeight="1">
      <c r="B466" s="24"/>
      <c r="D466" s="24"/>
      <c r="G466" s="24"/>
    </row>
    <row r="467" ht="15.75" customHeight="1">
      <c r="B467" s="24"/>
      <c r="D467" s="24"/>
      <c r="G467" s="24"/>
    </row>
    <row r="468" ht="15.75" customHeight="1">
      <c r="B468" s="24"/>
      <c r="D468" s="24"/>
      <c r="G468" s="24"/>
    </row>
    <row r="469" ht="15.75" customHeight="1">
      <c r="B469" s="24"/>
      <c r="D469" s="24"/>
      <c r="G469" s="24"/>
    </row>
    <row r="470" ht="15.75" customHeight="1">
      <c r="B470" s="24"/>
      <c r="D470" s="24"/>
      <c r="G470" s="24"/>
    </row>
    <row r="471" ht="15.75" customHeight="1">
      <c r="B471" s="24"/>
      <c r="D471" s="24"/>
      <c r="G471" s="24"/>
    </row>
    <row r="472" ht="15.75" customHeight="1">
      <c r="B472" s="24"/>
      <c r="D472" s="24"/>
      <c r="G472" s="24"/>
    </row>
    <row r="473" ht="15.75" customHeight="1">
      <c r="B473" s="24"/>
      <c r="D473" s="24"/>
      <c r="G473" s="24"/>
    </row>
    <row r="474" ht="15.75" customHeight="1">
      <c r="B474" s="24"/>
      <c r="D474" s="24"/>
      <c r="G474" s="24"/>
    </row>
    <row r="475" ht="15.75" customHeight="1">
      <c r="B475" s="24"/>
      <c r="D475" s="24"/>
      <c r="G475" s="24"/>
    </row>
    <row r="476" ht="15.75" customHeight="1">
      <c r="B476" s="24"/>
      <c r="D476" s="24"/>
      <c r="G476" s="24"/>
    </row>
    <row r="477" ht="15.75" customHeight="1">
      <c r="B477" s="24"/>
      <c r="D477" s="24"/>
      <c r="G477" s="24"/>
    </row>
    <row r="478" ht="15.75" customHeight="1">
      <c r="B478" s="24"/>
      <c r="D478" s="24"/>
      <c r="G478" s="24"/>
    </row>
    <row r="479" ht="15.75" customHeight="1">
      <c r="B479" s="24"/>
      <c r="D479" s="24"/>
      <c r="G479" s="24"/>
    </row>
    <row r="480" ht="15.75" customHeight="1">
      <c r="B480" s="24"/>
      <c r="D480" s="24"/>
      <c r="G480" s="24"/>
    </row>
    <row r="481" ht="15.75" customHeight="1">
      <c r="B481" s="24"/>
      <c r="D481" s="24"/>
      <c r="G481" s="24"/>
    </row>
    <row r="482" ht="15.75" customHeight="1">
      <c r="B482" s="24"/>
      <c r="D482" s="24"/>
      <c r="G482" s="24"/>
    </row>
    <row r="483" ht="15.75" customHeight="1">
      <c r="B483" s="24"/>
      <c r="D483" s="24"/>
      <c r="G483" s="24"/>
    </row>
    <row r="484" ht="15.75" customHeight="1">
      <c r="B484" s="24"/>
      <c r="D484" s="24"/>
      <c r="G484" s="24"/>
    </row>
    <row r="485" ht="15.75" customHeight="1">
      <c r="B485" s="24"/>
      <c r="D485" s="24"/>
      <c r="G485" s="24"/>
    </row>
    <row r="486" ht="15.75" customHeight="1">
      <c r="B486" s="24"/>
      <c r="D486" s="24"/>
      <c r="G486" s="24"/>
    </row>
    <row r="487" ht="15.75" customHeight="1">
      <c r="B487" s="24"/>
      <c r="D487" s="24"/>
      <c r="G487" s="24"/>
    </row>
    <row r="488" ht="15.75" customHeight="1">
      <c r="B488" s="24"/>
      <c r="D488" s="24"/>
      <c r="G488" s="24"/>
    </row>
    <row r="489" ht="15.75" customHeight="1">
      <c r="B489" s="24"/>
      <c r="D489" s="24"/>
      <c r="G489" s="24"/>
    </row>
    <row r="490" ht="15.75" customHeight="1">
      <c r="B490" s="24"/>
      <c r="D490" s="24"/>
      <c r="G490" s="24"/>
    </row>
    <row r="491" ht="15.75" customHeight="1">
      <c r="B491" s="24"/>
      <c r="D491" s="24"/>
      <c r="G491" s="24"/>
    </row>
    <row r="492" ht="15.75" customHeight="1">
      <c r="B492" s="24"/>
      <c r="D492" s="24"/>
      <c r="G492" s="24"/>
    </row>
    <row r="493" ht="15.75" customHeight="1">
      <c r="B493" s="24"/>
      <c r="D493" s="24"/>
      <c r="G493" s="24"/>
    </row>
    <row r="494" ht="15.75" customHeight="1">
      <c r="B494" s="24"/>
      <c r="D494" s="24"/>
      <c r="G494" s="24"/>
    </row>
    <row r="495" ht="15.75" customHeight="1">
      <c r="B495" s="24"/>
      <c r="D495" s="24"/>
      <c r="G495" s="24"/>
    </row>
    <row r="496" ht="15.75" customHeight="1">
      <c r="B496" s="24"/>
      <c r="D496" s="24"/>
      <c r="G496" s="24"/>
    </row>
    <row r="497" ht="15.75" customHeight="1">
      <c r="B497" s="24"/>
      <c r="D497" s="24"/>
      <c r="G497" s="24"/>
    </row>
    <row r="498" ht="15.75" customHeight="1">
      <c r="B498" s="24"/>
      <c r="D498" s="24"/>
      <c r="G498" s="24"/>
    </row>
    <row r="499" ht="15.75" customHeight="1">
      <c r="B499" s="24"/>
      <c r="D499" s="24"/>
      <c r="G499" s="24"/>
    </row>
    <row r="500" ht="15.75" customHeight="1">
      <c r="B500" s="24"/>
      <c r="D500" s="24"/>
      <c r="G500" s="24"/>
    </row>
    <row r="501" ht="15.75" customHeight="1">
      <c r="B501" s="24"/>
      <c r="D501" s="24"/>
      <c r="G501" s="24"/>
    </row>
    <row r="502" ht="15.75" customHeight="1">
      <c r="B502" s="24"/>
      <c r="D502" s="24"/>
      <c r="G502" s="24"/>
    </row>
    <row r="503" ht="15.75" customHeight="1">
      <c r="B503" s="24"/>
      <c r="D503" s="24"/>
      <c r="G503" s="24"/>
    </row>
    <row r="504" ht="15.75" customHeight="1">
      <c r="B504" s="24"/>
      <c r="D504" s="24"/>
      <c r="G504" s="24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I2"/>
  </mergeCells>
  <dataValidations>
    <dataValidation type="list" allowBlank="1" sqref="D5:D504">
      <formula1>"Discovery,Configuration,Data Migration,Training,UAT,Go-Live"</formula1>
    </dataValidation>
    <dataValidation type="list" allowBlank="1" sqref="G5:G504">
      <formula1>"Not Started,In Progress,Complete,Blocked,Deferred"</formula1>
    </dataValidation>
    <dataValidation type="list" allowBlank="1" sqref="B5:B504">
      <formula1>'🗂 Customers'!$B$4:$B$103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3" width="30.0"/>
    <col customWidth="1" min="4" max="4" width="16.0"/>
    <col customWidth="1" min="5" max="5" width="13.0"/>
    <col customWidth="1" min="6" max="6" width="14.0"/>
    <col customWidth="1" min="7" max="7" width="13.0"/>
    <col customWidth="1" min="8" max="8" width="22.0"/>
    <col customWidth="1" min="9" max="26" width="8.71"/>
  </cols>
  <sheetData>
    <row r="1" ht="7.5" customHeight="1"/>
    <row r="2" ht="18.0" customHeight="1">
      <c r="B2" s="19" t="s">
        <v>89</v>
      </c>
      <c r="C2" s="9"/>
      <c r="D2" s="9"/>
      <c r="E2" s="9"/>
      <c r="F2" s="9"/>
      <c r="G2" s="9"/>
      <c r="H2" s="4"/>
    </row>
    <row r="3" ht="7.5" customHeight="1"/>
    <row r="4" ht="19.5" customHeight="1">
      <c r="B4" s="10" t="s">
        <v>7</v>
      </c>
      <c r="C4" s="10" t="s">
        <v>90</v>
      </c>
      <c r="D4" s="10" t="s">
        <v>54</v>
      </c>
      <c r="E4" s="10" t="s">
        <v>51</v>
      </c>
      <c r="F4" s="10" t="s">
        <v>53</v>
      </c>
      <c r="G4" s="10" t="s">
        <v>91</v>
      </c>
      <c r="H4" s="10" t="s">
        <v>20</v>
      </c>
    </row>
    <row r="5" ht="18.0" customHeight="1">
      <c r="B5" s="21" t="s">
        <v>21</v>
      </c>
      <c r="C5" s="21" t="s">
        <v>92</v>
      </c>
      <c r="D5" s="21" t="s">
        <v>26</v>
      </c>
      <c r="E5" s="21" t="s">
        <v>93</v>
      </c>
      <c r="F5" s="26" t="s">
        <v>64</v>
      </c>
      <c r="G5" s="21" t="s">
        <v>94</v>
      </c>
      <c r="H5" s="21" t="s">
        <v>95</v>
      </c>
    </row>
    <row r="6" ht="18.0" customHeight="1">
      <c r="B6" s="23" t="s">
        <v>21</v>
      </c>
      <c r="C6" s="23" t="s">
        <v>96</v>
      </c>
      <c r="D6" s="23" t="s">
        <v>26</v>
      </c>
      <c r="E6" s="23" t="s">
        <v>97</v>
      </c>
      <c r="F6" s="23" t="s">
        <v>98</v>
      </c>
      <c r="G6" s="23" t="s">
        <v>99</v>
      </c>
      <c r="H6" s="23"/>
    </row>
    <row r="7" ht="18.0" customHeight="1">
      <c r="B7" s="21" t="s">
        <v>29</v>
      </c>
      <c r="C7" s="21" t="s">
        <v>100</v>
      </c>
      <c r="D7" s="21" t="s">
        <v>26</v>
      </c>
      <c r="E7" s="21" t="s">
        <v>77</v>
      </c>
      <c r="F7" s="21" t="s">
        <v>98</v>
      </c>
      <c r="G7" s="21" t="s">
        <v>94</v>
      </c>
      <c r="H7" s="21" t="s">
        <v>101</v>
      </c>
    </row>
    <row r="8" ht="18.0" customHeight="1">
      <c r="B8" s="23" t="s">
        <v>29</v>
      </c>
      <c r="C8" s="23" t="s">
        <v>102</v>
      </c>
      <c r="D8" s="23" t="s">
        <v>26</v>
      </c>
      <c r="E8" s="23" t="s">
        <v>103</v>
      </c>
      <c r="F8" s="23" t="s">
        <v>98</v>
      </c>
      <c r="G8" s="23" t="s">
        <v>99</v>
      </c>
      <c r="H8" s="23"/>
    </row>
    <row r="9" ht="18.0" customHeight="1">
      <c r="B9" s="21" t="s">
        <v>35</v>
      </c>
      <c r="C9" s="21" t="s">
        <v>104</v>
      </c>
      <c r="D9" s="21" t="s">
        <v>26</v>
      </c>
      <c r="E9" s="21" t="s">
        <v>105</v>
      </c>
      <c r="F9" s="25" t="s">
        <v>57</v>
      </c>
      <c r="G9" s="21" t="s">
        <v>106</v>
      </c>
      <c r="H9" s="21" t="s">
        <v>107</v>
      </c>
    </row>
    <row r="10" ht="18.0" customHeight="1">
      <c r="B10" s="23" t="s">
        <v>35</v>
      </c>
      <c r="C10" s="23" t="s">
        <v>108</v>
      </c>
      <c r="D10" s="23" t="s">
        <v>26</v>
      </c>
      <c r="E10" s="23" t="s">
        <v>85</v>
      </c>
      <c r="F10" s="26" t="s">
        <v>64</v>
      </c>
      <c r="G10" s="23" t="s">
        <v>99</v>
      </c>
      <c r="H10" s="23" t="s">
        <v>109</v>
      </c>
    </row>
    <row r="11" ht="18.0" customHeight="1">
      <c r="B11" s="21" t="s">
        <v>41</v>
      </c>
      <c r="C11" s="21" t="s">
        <v>110</v>
      </c>
      <c r="D11" s="21" t="s">
        <v>26</v>
      </c>
      <c r="E11" s="21" t="s">
        <v>111</v>
      </c>
      <c r="F11" s="21" t="s">
        <v>98</v>
      </c>
      <c r="G11" s="21" t="s">
        <v>94</v>
      </c>
      <c r="H11" s="21" t="s">
        <v>112</v>
      </c>
    </row>
    <row r="12">
      <c r="B12" s="24"/>
      <c r="F12" s="24"/>
      <c r="G12" s="24"/>
    </row>
    <row r="13">
      <c r="B13" s="24"/>
      <c r="F13" s="24"/>
      <c r="G13" s="24"/>
    </row>
    <row r="14">
      <c r="B14" s="24"/>
      <c r="F14" s="24"/>
      <c r="G14" s="24"/>
    </row>
    <row r="15">
      <c r="B15" s="24"/>
      <c r="F15" s="24"/>
      <c r="G15" s="24"/>
    </row>
    <row r="16">
      <c r="B16" s="24"/>
      <c r="F16" s="24"/>
      <c r="G16" s="24"/>
    </row>
    <row r="17">
      <c r="B17" s="24"/>
      <c r="F17" s="24"/>
      <c r="G17" s="24"/>
    </row>
    <row r="18">
      <c r="B18" s="24"/>
      <c r="F18" s="24"/>
      <c r="G18" s="24"/>
    </row>
    <row r="19">
      <c r="B19" s="24"/>
      <c r="F19" s="24"/>
      <c r="G19" s="24"/>
    </row>
    <row r="20">
      <c r="B20" s="24"/>
      <c r="F20" s="24"/>
      <c r="G20" s="24"/>
    </row>
    <row r="21" ht="15.75" customHeight="1">
      <c r="B21" s="24"/>
      <c r="F21" s="24"/>
      <c r="G21" s="24"/>
    </row>
    <row r="22" ht="15.75" customHeight="1">
      <c r="B22" s="24"/>
      <c r="F22" s="24"/>
      <c r="G22" s="24"/>
    </row>
    <row r="23" ht="15.75" customHeight="1">
      <c r="B23" s="24"/>
      <c r="F23" s="24"/>
      <c r="G23" s="24"/>
    </row>
    <row r="24" ht="15.75" customHeight="1">
      <c r="B24" s="24"/>
      <c r="F24" s="24"/>
      <c r="G24" s="24"/>
    </row>
    <row r="25" ht="15.75" customHeight="1">
      <c r="B25" s="24"/>
      <c r="F25" s="24"/>
      <c r="G25" s="24"/>
    </row>
    <row r="26" ht="15.75" customHeight="1">
      <c r="B26" s="24"/>
      <c r="F26" s="24"/>
      <c r="G26" s="24"/>
    </row>
    <row r="27" ht="15.75" customHeight="1">
      <c r="B27" s="24"/>
      <c r="F27" s="24"/>
      <c r="G27" s="24"/>
    </row>
    <row r="28" ht="15.75" customHeight="1">
      <c r="B28" s="24"/>
      <c r="F28" s="24"/>
      <c r="G28" s="24"/>
    </row>
    <row r="29" ht="15.75" customHeight="1">
      <c r="B29" s="24"/>
      <c r="F29" s="24"/>
      <c r="G29" s="24"/>
    </row>
    <row r="30" ht="15.75" customHeight="1">
      <c r="B30" s="24"/>
      <c r="F30" s="24"/>
      <c r="G30" s="24"/>
    </row>
    <row r="31" ht="15.75" customHeight="1">
      <c r="B31" s="24"/>
      <c r="F31" s="24"/>
      <c r="G31" s="24"/>
    </row>
    <row r="32" ht="15.75" customHeight="1">
      <c r="B32" s="24"/>
      <c r="F32" s="24"/>
      <c r="G32" s="24"/>
    </row>
    <row r="33" ht="15.75" customHeight="1">
      <c r="B33" s="24"/>
      <c r="F33" s="24"/>
      <c r="G33" s="24"/>
    </row>
    <row r="34" ht="15.75" customHeight="1">
      <c r="B34" s="24"/>
      <c r="F34" s="24"/>
      <c r="G34" s="24"/>
    </row>
    <row r="35" ht="15.75" customHeight="1">
      <c r="B35" s="24"/>
      <c r="F35" s="24"/>
      <c r="G35" s="24"/>
    </row>
    <row r="36" ht="15.75" customHeight="1">
      <c r="B36" s="24"/>
      <c r="F36" s="24"/>
      <c r="G36" s="24"/>
    </row>
    <row r="37" ht="15.75" customHeight="1">
      <c r="B37" s="24"/>
      <c r="F37" s="24"/>
      <c r="G37" s="24"/>
    </row>
    <row r="38" ht="15.75" customHeight="1">
      <c r="B38" s="24"/>
      <c r="F38" s="24"/>
      <c r="G38" s="24"/>
    </row>
    <row r="39" ht="15.75" customHeight="1">
      <c r="B39" s="24"/>
      <c r="F39" s="24"/>
      <c r="G39" s="24"/>
    </row>
    <row r="40" ht="15.75" customHeight="1">
      <c r="B40" s="24"/>
      <c r="F40" s="24"/>
      <c r="G40" s="24"/>
    </row>
    <row r="41" ht="15.75" customHeight="1">
      <c r="B41" s="24"/>
      <c r="F41" s="24"/>
      <c r="G41" s="24"/>
    </row>
    <row r="42" ht="15.75" customHeight="1">
      <c r="B42" s="24"/>
      <c r="F42" s="24"/>
      <c r="G42" s="24"/>
    </row>
    <row r="43" ht="15.75" customHeight="1">
      <c r="B43" s="24"/>
      <c r="F43" s="24"/>
      <c r="G43" s="24"/>
    </row>
    <row r="44" ht="15.75" customHeight="1">
      <c r="B44" s="24"/>
      <c r="F44" s="24"/>
      <c r="G44" s="24"/>
    </row>
    <row r="45" ht="15.75" customHeight="1">
      <c r="B45" s="24"/>
      <c r="F45" s="24"/>
      <c r="G45" s="24"/>
    </row>
    <row r="46" ht="15.75" customHeight="1">
      <c r="B46" s="24"/>
      <c r="F46" s="24"/>
      <c r="G46" s="24"/>
    </row>
    <row r="47" ht="15.75" customHeight="1">
      <c r="B47" s="24"/>
      <c r="F47" s="24"/>
      <c r="G47" s="24"/>
    </row>
    <row r="48" ht="15.75" customHeight="1">
      <c r="B48" s="24"/>
      <c r="F48" s="24"/>
      <c r="G48" s="24"/>
    </row>
    <row r="49" ht="15.75" customHeight="1">
      <c r="B49" s="24"/>
      <c r="F49" s="24"/>
      <c r="G49" s="24"/>
    </row>
    <row r="50" ht="15.75" customHeight="1">
      <c r="B50" s="24"/>
      <c r="F50" s="24"/>
      <c r="G50" s="24"/>
    </row>
    <row r="51" ht="15.75" customHeight="1">
      <c r="B51" s="24"/>
      <c r="F51" s="24"/>
      <c r="G51" s="24"/>
    </row>
    <row r="52" ht="15.75" customHeight="1">
      <c r="B52" s="24"/>
      <c r="F52" s="24"/>
      <c r="G52" s="24"/>
    </row>
    <row r="53" ht="15.75" customHeight="1">
      <c r="B53" s="24"/>
      <c r="F53" s="24"/>
      <c r="G53" s="24"/>
    </row>
    <row r="54" ht="15.75" customHeight="1">
      <c r="B54" s="24"/>
      <c r="F54" s="24"/>
      <c r="G54" s="24"/>
    </row>
    <row r="55" ht="15.75" customHeight="1">
      <c r="B55" s="24"/>
      <c r="F55" s="24"/>
      <c r="G55" s="24"/>
    </row>
    <row r="56" ht="15.75" customHeight="1">
      <c r="B56" s="24"/>
      <c r="F56" s="24"/>
      <c r="G56" s="24"/>
    </row>
    <row r="57" ht="15.75" customHeight="1">
      <c r="B57" s="24"/>
      <c r="F57" s="24"/>
      <c r="G57" s="24"/>
    </row>
    <row r="58" ht="15.75" customHeight="1">
      <c r="B58" s="24"/>
      <c r="F58" s="24"/>
      <c r="G58" s="24"/>
    </row>
    <row r="59" ht="15.75" customHeight="1">
      <c r="B59" s="24"/>
      <c r="F59" s="24"/>
      <c r="G59" s="24"/>
    </row>
    <row r="60" ht="15.75" customHeight="1">
      <c r="B60" s="24"/>
      <c r="F60" s="24"/>
      <c r="G60" s="24"/>
    </row>
    <row r="61" ht="15.75" customHeight="1">
      <c r="B61" s="24"/>
      <c r="F61" s="24"/>
      <c r="G61" s="24"/>
    </row>
    <row r="62" ht="15.75" customHeight="1">
      <c r="B62" s="24"/>
      <c r="F62" s="24"/>
      <c r="G62" s="24"/>
    </row>
    <row r="63" ht="15.75" customHeight="1">
      <c r="B63" s="24"/>
      <c r="F63" s="24"/>
      <c r="G63" s="24"/>
    </row>
    <row r="64" ht="15.75" customHeight="1">
      <c r="B64" s="24"/>
      <c r="F64" s="24"/>
      <c r="G64" s="24"/>
    </row>
    <row r="65" ht="15.75" customHeight="1">
      <c r="B65" s="24"/>
      <c r="F65" s="24"/>
      <c r="G65" s="24"/>
    </row>
    <row r="66" ht="15.75" customHeight="1">
      <c r="B66" s="24"/>
      <c r="F66" s="24"/>
      <c r="G66" s="24"/>
    </row>
    <row r="67" ht="15.75" customHeight="1">
      <c r="B67" s="24"/>
      <c r="F67" s="24"/>
      <c r="G67" s="24"/>
    </row>
    <row r="68" ht="15.75" customHeight="1">
      <c r="B68" s="24"/>
      <c r="F68" s="24"/>
      <c r="G68" s="24"/>
    </row>
    <row r="69" ht="15.75" customHeight="1">
      <c r="B69" s="24"/>
      <c r="F69" s="24"/>
      <c r="G69" s="24"/>
    </row>
    <row r="70" ht="15.75" customHeight="1">
      <c r="B70" s="24"/>
      <c r="F70" s="24"/>
      <c r="G70" s="24"/>
    </row>
    <row r="71" ht="15.75" customHeight="1">
      <c r="B71" s="24"/>
      <c r="F71" s="24"/>
      <c r="G71" s="24"/>
    </row>
    <row r="72" ht="15.75" customHeight="1">
      <c r="B72" s="24"/>
      <c r="F72" s="24"/>
      <c r="G72" s="24"/>
    </row>
    <row r="73" ht="15.75" customHeight="1">
      <c r="B73" s="24"/>
      <c r="F73" s="24"/>
      <c r="G73" s="24"/>
    </row>
    <row r="74" ht="15.75" customHeight="1">
      <c r="B74" s="24"/>
      <c r="F74" s="24"/>
      <c r="G74" s="24"/>
    </row>
    <row r="75" ht="15.75" customHeight="1">
      <c r="B75" s="24"/>
      <c r="F75" s="24"/>
      <c r="G75" s="24"/>
    </row>
    <row r="76" ht="15.75" customHeight="1">
      <c r="B76" s="24"/>
      <c r="F76" s="24"/>
      <c r="G76" s="24"/>
    </row>
    <row r="77" ht="15.75" customHeight="1">
      <c r="B77" s="24"/>
      <c r="F77" s="24"/>
      <c r="G77" s="24"/>
    </row>
    <row r="78" ht="15.75" customHeight="1">
      <c r="B78" s="24"/>
      <c r="F78" s="24"/>
      <c r="G78" s="24"/>
    </row>
    <row r="79" ht="15.75" customHeight="1">
      <c r="B79" s="24"/>
      <c r="F79" s="24"/>
      <c r="G79" s="24"/>
    </row>
    <row r="80" ht="15.75" customHeight="1">
      <c r="B80" s="24"/>
      <c r="F80" s="24"/>
      <c r="G80" s="24"/>
    </row>
    <row r="81" ht="15.75" customHeight="1">
      <c r="B81" s="24"/>
      <c r="F81" s="24"/>
      <c r="G81" s="24"/>
    </row>
    <row r="82" ht="15.75" customHeight="1">
      <c r="B82" s="24"/>
      <c r="F82" s="24"/>
      <c r="G82" s="24"/>
    </row>
    <row r="83" ht="15.75" customHeight="1">
      <c r="B83" s="24"/>
      <c r="F83" s="24"/>
      <c r="G83" s="24"/>
    </row>
    <row r="84" ht="15.75" customHeight="1">
      <c r="B84" s="24"/>
      <c r="F84" s="24"/>
      <c r="G84" s="24"/>
    </row>
    <row r="85" ht="15.75" customHeight="1">
      <c r="B85" s="24"/>
      <c r="F85" s="24"/>
      <c r="G85" s="24"/>
    </row>
    <row r="86" ht="15.75" customHeight="1">
      <c r="B86" s="24"/>
      <c r="F86" s="24"/>
      <c r="G86" s="24"/>
    </row>
    <row r="87" ht="15.75" customHeight="1">
      <c r="B87" s="24"/>
      <c r="F87" s="24"/>
      <c r="G87" s="24"/>
    </row>
    <row r="88" ht="15.75" customHeight="1">
      <c r="B88" s="24"/>
      <c r="F88" s="24"/>
      <c r="G88" s="24"/>
    </row>
    <row r="89" ht="15.75" customHeight="1">
      <c r="B89" s="24"/>
      <c r="F89" s="24"/>
      <c r="G89" s="24"/>
    </row>
    <row r="90" ht="15.75" customHeight="1">
      <c r="B90" s="24"/>
      <c r="F90" s="24"/>
      <c r="G90" s="24"/>
    </row>
    <row r="91" ht="15.75" customHeight="1">
      <c r="B91" s="24"/>
      <c r="F91" s="24"/>
      <c r="G91" s="24"/>
    </row>
    <row r="92" ht="15.75" customHeight="1">
      <c r="B92" s="24"/>
      <c r="F92" s="24"/>
      <c r="G92" s="24"/>
    </row>
    <row r="93" ht="15.75" customHeight="1">
      <c r="B93" s="24"/>
      <c r="F93" s="24"/>
      <c r="G93" s="24"/>
    </row>
    <row r="94" ht="15.75" customHeight="1">
      <c r="B94" s="24"/>
      <c r="F94" s="24"/>
      <c r="G94" s="24"/>
    </row>
    <row r="95" ht="15.75" customHeight="1">
      <c r="B95" s="24"/>
      <c r="F95" s="24"/>
      <c r="G95" s="24"/>
    </row>
    <row r="96" ht="15.75" customHeight="1">
      <c r="B96" s="24"/>
      <c r="F96" s="24"/>
      <c r="G96" s="24"/>
    </row>
    <row r="97" ht="15.75" customHeight="1">
      <c r="B97" s="24"/>
      <c r="F97" s="24"/>
      <c r="G97" s="24"/>
    </row>
    <row r="98" ht="15.75" customHeight="1">
      <c r="B98" s="24"/>
      <c r="F98" s="24"/>
      <c r="G98" s="24"/>
    </row>
    <row r="99" ht="15.75" customHeight="1">
      <c r="B99" s="24"/>
      <c r="F99" s="24"/>
      <c r="G99" s="24"/>
    </row>
    <row r="100" ht="15.75" customHeight="1">
      <c r="B100" s="24"/>
      <c r="F100" s="24"/>
      <c r="G100" s="24"/>
    </row>
    <row r="101" ht="15.75" customHeight="1">
      <c r="B101" s="24"/>
      <c r="F101" s="24"/>
      <c r="G101" s="24"/>
    </row>
    <row r="102" ht="15.75" customHeight="1">
      <c r="B102" s="24"/>
      <c r="F102" s="24"/>
      <c r="G102" s="24"/>
    </row>
    <row r="103" ht="15.75" customHeight="1">
      <c r="B103" s="24"/>
      <c r="F103" s="24"/>
      <c r="G103" s="24"/>
    </row>
    <row r="104" ht="15.75" customHeight="1">
      <c r="B104" s="24"/>
      <c r="F104" s="24"/>
      <c r="G104" s="24"/>
    </row>
    <row r="105" ht="15.75" customHeight="1">
      <c r="B105" s="24"/>
      <c r="F105" s="24"/>
      <c r="G105" s="24"/>
    </row>
    <row r="106" ht="15.75" customHeight="1">
      <c r="B106" s="24"/>
      <c r="F106" s="24"/>
      <c r="G106" s="24"/>
    </row>
    <row r="107" ht="15.75" customHeight="1">
      <c r="B107" s="24"/>
      <c r="F107" s="24"/>
      <c r="G107" s="24"/>
    </row>
    <row r="108" ht="15.75" customHeight="1">
      <c r="B108" s="24"/>
      <c r="F108" s="24"/>
      <c r="G108" s="24"/>
    </row>
    <row r="109" ht="15.75" customHeight="1">
      <c r="B109" s="24"/>
      <c r="F109" s="24"/>
      <c r="G109" s="24"/>
    </row>
    <row r="110" ht="15.75" customHeight="1">
      <c r="B110" s="24"/>
      <c r="F110" s="24"/>
      <c r="G110" s="24"/>
    </row>
    <row r="111" ht="15.75" customHeight="1">
      <c r="B111" s="24"/>
      <c r="F111" s="24"/>
      <c r="G111" s="24"/>
    </row>
    <row r="112" ht="15.75" customHeight="1">
      <c r="B112" s="24"/>
      <c r="F112" s="24"/>
      <c r="G112" s="24"/>
    </row>
    <row r="113" ht="15.75" customHeight="1">
      <c r="B113" s="24"/>
      <c r="F113" s="24"/>
      <c r="G113" s="24"/>
    </row>
    <row r="114" ht="15.75" customHeight="1">
      <c r="B114" s="24"/>
      <c r="F114" s="24"/>
      <c r="G114" s="24"/>
    </row>
    <row r="115" ht="15.75" customHeight="1">
      <c r="B115" s="24"/>
      <c r="F115" s="24"/>
      <c r="G115" s="24"/>
    </row>
    <row r="116" ht="15.75" customHeight="1">
      <c r="B116" s="24"/>
      <c r="F116" s="24"/>
      <c r="G116" s="24"/>
    </row>
    <row r="117" ht="15.75" customHeight="1">
      <c r="B117" s="24"/>
      <c r="F117" s="24"/>
      <c r="G117" s="24"/>
    </row>
    <row r="118" ht="15.75" customHeight="1">
      <c r="B118" s="24"/>
      <c r="F118" s="24"/>
      <c r="G118" s="24"/>
    </row>
    <row r="119" ht="15.75" customHeight="1">
      <c r="B119" s="24"/>
      <c r="F119" s="24"/>
      <c r="G119" s="24"/>
    </row>
    <row r="120" ht="15.75" customHeight="1">
      <c r="B120" s="24"/>
      <c r="F120" s="24"/>
      <c r="G120" s="24"/>
    </row>
    <row r="121" ht="15.75" customHeight="1">
      <c r="B121" s="24"/>
      <c r="F121" s="24"/>
      <c r="G121" s="24"/>
    </row>
    <row r="122" ht="15.75" customHeight="1">
      <c r="B122" s="24"/>
      <c r="F122" s="24"/>
      <c r="G122" s="24"/>
    </row>
    <row r="123" ht="15.75" customHeight="1">
      <c r="B123" s="24"/>
      <c r="F123" s="24"/>
      <c r="G123" s="24"/>
    </row>
    <row r="124" ht="15.75" customHeight="1">
      <c r="B124" s="24"/>
      <c r="F124" s="24"/>
      <c r="G124" s="24"/>
    </row>
    <row r="125" ht="15.75" customHeight="1">
      <c r="B125" s="24"/>
      <c r="F125" s="24"/>
      <c r="G125" s="24"/>
    </row>
    <row r="126" ht="15.75" customHeight="1">
      <c r="B126" s="24"/>
      <c r="F126" s="24"/>
      <c r="G126" s="24"/>
    </row>
    <row r="127" ht="15.75" customHeight="1">
      <c r="B127" s="24"/>
      <c r="F127" s="24"/>
      <c r="G127" s="24"/>
    </row>
    <row r="128" ht="15.75" customHeight="1">
      <c r="B128" s="24"/>
      <c r="F128" s="24"/>
      <c r="G128" s="24"/>
    </row>
    <row r="129" ht="15.75" customHeight="1">
      <c r="B129" s="24"/>
      <c r="F129" s="24"/>
      <c r="G129" s="24"/>
    </row>
    <row r="130" ht="15.75" customHeight="1">
      <c r="B130" s="24"/>
      <c r="F130" s="24"/>
      <c r="G130" s="24"/>
    </row>
    <row r="131" ht="15.75" customHeight="1">
      <c r="B131" s="24"/>
      <c r="F131" s="24"/>
      <c r="G131" s="24"/>
    </row>
    <row r="132" ht="15.75" customHeight="1">
      <c r="B132" s="24"/>
      <c r="F132" s="24"/>
      <c r="G132" s="24"/>
    </row>
    <row r="133" ht="15.75" customHeight="1">
      <c r="B133" s="24"/>
      <c r="F133" s="24"/>
      <c r="G133" s="24"/>
    </row>
    <row r="134" ht="15.75" customHeight="1">
      <c r="B134" s="24"/>
      <c r="F134" s="24"/>
      <c r="G134" s="24"/>
    </row>
    <row r="135" ht="15.75" customHeight="1">
      <c r="B135" s="24"/>
      <c r="F135" s="24"/>
      <c r="G135" s="24"/>
    </row>
    <row r="136" ht="15.75" customHeight="1">
      <c r="B136" s="24"/>
      <c r="F136" s="24"/>
      <c r="G136" s="24"/>
    </row>
    <row r="137" ht="15.75" customHeight="1">
      <c r="B137" s="24"/>
      <c r="F137" s="24"/>
      <c r="G137" s="24"/>
    </row>
    <row r="138" ht="15.75" customHeight="1">
      <c r="B138" s="24"/>
      <c r="F138" s="24"/>
      <c r="G138" s="24"/>
    </row>
    <row r="139" ht="15.75" customHeight="1">
      <c r="B139" s="24"/>
      <c r="F139" s="24"/>
      <c r="G139" s="24"/>
    </row>
    <row r="140" ht="15.75" customHeight="1">
      <c r="B140" s="24"/>
      <c r="F140" s="24"/>
      <c r="G140" s="24"/>
    </row>
    <row r="141" ht="15.75" customHeight="1">
      <c r="B141" s="24"/>
      <c r="F141" s="24"/>
      <c r="G141" s="24"/>
    </row>
    <row r="142" ht="15.75" customHeight="1">
      <c r="B142" s="24"/>
      <c r="F142" s="24"/>
      <c r="G142" s="24"/>
    </row>
    <row r="143" ht="15.75" customHeight="1">
      <c r="B143" s="24"/>
      <c r="F143" s="24"/>
      <c r="G143" s="24"/>
    </row>
    <row r="144" ht="15.75" customHeight="1">
      <c r="B144" s="24"/>
      <c r="F144" s="24"/>
      <c r="G144" s="24"/>
    </row>
    <row r="145" ht="15.75" customHeight="1">
      <c r="B145" s="24"/>
      <c r="F145" s="24"/>
      <c r="G145" s="24"/>
    </row>
    <row r="146" ht="15.75" customHeight="1">
      <c r="B146" s="24"/>
      <c r="F146" s="24"/>
      <c r="G146" s="24"/>
    </row>
    <row r="147" ht="15.75" customHeight="1">
      <c r="B147" s="24"/>
      <c r="F147" s="24"/>
      <c r="G147" s="24"/>
    </row>
    <row r="148" ht="15.75" customHeight="1">
      <c r="B148" s="24"/>
      <c r="F148" s="24"/>
      <c r="G148" s="24"/>
    </row>
    <row r="149" ht="15.75" customHeight="1">
      <c r="B149" s="24"/>
      <c r="F149" s="24"/>
      <c r="G149" s="24"/>
    </row>
    <row r="150" ht="15.75" customHeight="1">
      <c r="B150" s="24"/>
      <c r="F150" s="24"/>
      <c r="G150" s="24"/>
    </row>
    <row r="151" ht="15.75" customHeight="1">
      <c r="B151" s="24"/>
      <c r="F151" s="24"/>
      <c r="G151" s="24"/>
    </row>
    <row r="152" ht="15.75" customHeight="1">
      <c r="B152" s="24"/>
      <c r="F152" s="24"/>
      <c r="G152" s="24"/>
    </row>
    <row r="153" ht="15.75" customHeight="1">
      <c r="B153" s="24"/>
      <c r="F153" s="24"/>
      <c r="G153" s="24"/>
    </row>
    <row r="154" ht="15.75" customHeight="1">
      <c r="B154" s="24"/>
      <c r="F154" s="24"/>
      <c r="G154" s="24"/>
    </row>
    <row r="155" ht="15.75" customHeight="1">
      <c r="B155" s="24"/>
      <c r="F155" s="24"/>
      <c r="G155" s="24"/>
    </row>
    <row r="156" ht="15.75" customHeight="1">
      <c r="B156" s="24"/>
      <c r="F156" s="24"/>
      <c r="G156" s="24"/>
    </row>
    <row r="157" ht="15.75" customHeight="1">
      <c r="B157" s="24"/>
      <c r="F157" s="24"/>
      <c r="G157" s="24"/>
    </row>
    <row r="158" ht="15.75" customHeight="1">
      <c r="B158" s="24"/>
      <c r="F158" s="24"/>
      <c r="G158" s="24"/>
    </row>
    <row r="159" ht="15.75" customHeight="1">
      <c r="B159" s="24"/>
      <c r="F159" s="24"/>
      <c r="G159" s="24"/>
    </row>
    <row r="160" ht="15.75" customHeight="1">
      <c r="B160" s="24"/>
      <c r="F160" s="24"/>
      <c r="G160" s="24"/>
    </row>
    <row r="161" ht="15.75" customHeight="1">
      <c r="B161" s="24"/>
      <c r="F161" s="24"/>
      <c r="G161" s="24"/>
    </row>
    <row r="162" ht="15.75" customHeight="1">
      <c r="B162" s="24"/>
      <c r="F162" s="24"/>
      <c r="G162" s="24"/>
    </row>
    <row r="163" ht="15.75" customHeight="1">
      <c r="B163" s="24"/>
      <c r="F163" s="24"/>
      <c r="G163" s="24"/>
    </row>
    <row r="164" ht="15.75" customHeight="1">
      <c r="B164" s="24"/>
      <c r="F164" s="24"/>
      <c r="G164" s="24"/>
    </row>
    <row r="165" ht="15.75" customHeight="1">
      <c r="B165" s="24"/>
      <c r="F165" s="24"/>
      <c r="G165" s="24"/>
    </row>
    <row r="166" ht="15.75" customHeight="1">
      <c r="B166" s="24"/>
      <c r="F166" s="24"/>
      <c r="G166" s="24"/>
    </row>
    <row r="167" ht="15.75" customHeight="1">
      <c r="B167" s="24"/>
      <c r="F167" s="24"/>
      <c r="G167" s="24"/>
    </row>
    <row r="168" ht="15.75" customHeight="1">
      <c r="B168" s="24"/>
      <c r="F168" s="24"/>
      <c r="G168" s="24"/>
    </row>
    <row r="169" ht="15.75" customHeight="1">
      <c r="B169" s="24"/>
      <c r="F169" s="24"/>
      <c r="G169" s="24"/>
    </row>
    <row r="170" ht="15.75" customHeight="1">
      <c r="B170" s="24"/>
      <c r="F170" s="24"/>
      <c r="G170" s="24"/>
    </row>
    <row r="171" ht="15.75" customHeight="1">
      <c r="B171" s="24"/>
      <c r="F171" s="24"/>
      <c r="G171" s="24"/>
    </row>
    <row r="172" ht="15.75" customHeight="1">
      <c r="B172" s="24"/>
      <c r="F172" s="24"/>
      <c r="G172" s="24"/>
    </row>
    <row r="173" ht="15.75" customHeight="1">
      <c r="B173" s="24"/>
      <c r="F173" s="24"/>
      <c r="G173" s="24"/>
    </row>
    <row r="174" ht="15.75" customHeight="1">
      <c r="B174" s="24"/>
      <c r="F174" s="24"/>
      <c r="G174" s="24"/>
    </row>
    <row r="175" ht="15.75" customHeight="1">
      <c r="B175" s="24"/>
      <c r="F175" s="24"/>
      <c r="G175" s="24"/>
    </row>
    <row r="176" ht="15.75" customHeight="1">
      <c r="B176" s="24"/>
      <c r="F176" s="24"/>
      <c r="G176" s="24"/>
    </row>
    <row r="177" ht="15.75" customHeight="1">
      <c r="B177" s="24"/>
      <c r="F177" s="24"/>
      <c r="G177" s="24"/>
    </row>
    <row r="178" ht="15.75" customHeight="1">
      <c r="B178" s="24"/>
      <c r="F178" s="24"/>
      <c r="G178" s="24"/>
    </row>
    <row r="179" ht="15.75" customHeight="1">
      <c r="B179" s="24"/>
      <c r="F179" s="24"/>
      <c r="G179" s="24"/>
    </row>
    <row r="180" ht="15.75" customHeight="1">
      <c r="B180" s="24"/>
      <c r="F180" s="24"/>
      <c r="G180" s="24"/>
    </row>
    <row r="181" ht="15.75" customHeight="1">
      <c r="B181" s="24"/>
      <c r="F181" s="24"/>
      <c r="G181" s="24"/>
    </row>
    <row r="182" ht="15.75" customHeight="1">
      <c r="B182" s="24"/>
      <c r="F182" s="24"/>
      <c r="G182" s="24"/>
    </row>
    <row r="183" ht="15.75" customHeight="1">
      <c r="B183" s="24"/>
      <c r="F183" s="24"/>
      <c r="G183" s="24"/>
    </row>
    <row r="184" ht="15.75" customHeight="1">
      <c r="B184" s="24"/>
      <c r="F184" s="24"/>
      <c r="G184" s="24"/>
    </row>
    <row r="185" ht="15.75" customHeight="1">
      <c r="B185" s="24"/>
      <c r="F185" s="24"/>
      <c r="G185" s="24"/>
    </row>
    <row r="186" ht="15.75" customHeight="1">
      <c r="B186" s="24"/>
      <c r="F186" s="24"/>
      <c r="G186" s="24"/>
    </row>
    <row r="187" ht="15.75" customHeight="1">
      <c r="B187" s="24"/>
      <c r="F187" s="24"/>
      <c r="G187" s="24"/>
    </row>
    <row r="188" ht="15.75" customHeight="1">
      <c r="B188" s="24"/>
      <c r="F188" s="24"/>
      <c r="G188" s="24"/>
    </row>
    <row r="189" ht="15.75" customHeight="1">
      <c r="B189" s="24"/>
      <c r="F189" s="24"/>
      <c r="G189" s="24"/>
    </row>
    <row r="190" ht="15.75" customHeight="1">
      <c r="B190" s="24"/>
      <c r="F190" s="24"/>
      <c r="G190" s="24"/>
    </row>
    <row r="191" ht="15.75" customHeight="1">
      <c r="B191" s="24"/>
      <c r="F191" s="24"/>
      <c r="G191" s="24"/>
    </row>
    <row r="192" ht="15.75" customHeight="1">
      <c r="B192" s="24"/>
      <c r="F192" s="24"/>
      <c r="G192" s="24"/>
    </row>
    <row r="193" ht="15.75" customHeight="1">
      <c r="B193" s="24"/>
      <c r="F193" s="24"/>
      <c r="G193" s="24"/>
    </row>
    <row r="194" ht="15.75" customHeight="1">
      <c r="B194" s="24"/>
      <c r="F194" s="24"/>
      <c r="G194" s="24"/>
    </row>
    <row r="195" ht="15.75" customHeight="1">
      <c r="B195" s="24"/>
      <c r="F195" s="24"/>
      <c r="G195" s="24"/>
    </row>
    <row r="196" ht="15.75" customHeight="1">
      <c r="B196" s="24"/>
      <c r="F196" s="24"/>
      <c r="G196" s="24"/>
    </row>
    <row r="197" ht="15.75" customHeight="1">
      <c r="B197" s="24"/>
      <c r="F197" s="24"/>
      <c r="G197" s="24"/>
    </row>
    <row r="198" ht="15.75" customHeight="1">
      <c r="B198" s="24"/>
      <c r="F198" s="24"/>
      <c r="G198" s="24"/>
    </row>
    <row r="199" ht="15.75" customHeight="1">
      <c r="B199" s="24"/>
      <c r="F199" s="24"/>
      <c r="G199" s="24"/>
    </row>
    <row r="200" ht="15.75" customHeight="1">
      <c r="B200" s="24"/>
      <c r="F200" s="24"/>
      <c r="G200" s="24"/>
    </row>
    <row r="201" ht="15.75" customHeight="1">
      <c r="B201" s="24"/>
      <c r="F201" s="24"/>
      <c r="G201" s="24"/>
    </row>
    <row r="202" ht="15.75" customHeight="1">
      <c r="B202" s="24"/>
      <c r="F202" s="24"/>
      <c r="G202" s="24"/>
    </row>
    <row r="203" ht="15.75" customHeight="1">
      <c r="B203" s="24"/>
      <c r="F203" s="24"/>
      <c r="G203" s="24"/>
    </row>
    <row r="204" ht="15.75" customHeight="1">
      <c r="B204" s="24"/>
      <c r="F204" s="24"/>
      <c r="G204" s="24"/>
    </row>
    <row r="205" ht="15.75" customHeight="1">
      <c r="B205" s="24"/>
      <c r="F205" s="24"/>
      <c r="G205" s="24"/>
    </row>
    <row r="206" ht="15.75" customHeight="1">
      <c r="B206" s="24"/>
      <c r="F206" s="24"/>
      <c r="G206" s="24"/>
    </row>
    <row r="207" ht="15.75" customHeight="1">
      <c r="B207" s="24"/>
      <c r="F207" s="24"/>
      <c r="G207" s="24"/>
    </row>
    <row r="208" ht="15.75" customHeight="1">
      <c r="B208" s="24"/>
      <c r="F208" s="24"/>
      <c r="G208" s="24"/>
    </row>
    <row r="209" ht="15.75" customHeight="1">
      <c r="B209" s="24"/>
      <c r="F209" s="24"/>
      <c r="G209" s="24"/>
    </row>
    <row r="210" ht="15.75" customHeight="1">
      <c r="B210" s="24"/>
      <c r="F210" s="24"/>
      <c r="G210" s="24"/>
    </row>
    <row r="211" ht="15.75" customHeight="1">
      <c r="B211" s="24"/>
      <c r="F211" s="24"/>
      <c r="G211" s="24"/>
    </row>
    <row r="212" ht="15.75" customHeight="1">
      <c r="B212" s="24"/>
      <c r="F212" s="24"/>
      <c r="G212" s="24"/>
    </row>
    <row r="213" ht="15.75" customHeight="1">
      <c r="B213" s="24"/>
      <c r="F213" s="24"/>
      <c r="G213" s="24"/>
    </row>
    <row r="214" ht="15.75" customHeight="1">
      <c r="B214" s="24"/>
      <c r="F214" s="24"/>
      <c r="G214" s="24"/>
    </row>
    <row r="215" ht="15.75" customHeight="1">
      <c r="B215" s="24"/>
      <c r="F215" s="24"/>
      <c r="G215" s="24"/>
    </row>
    <row r="216" ht="15.75" customHeight="1">
      <c r="B216" s="24"/>
      <c r="F216" s="24"/>
      <c r="G216" s="24"/>
    </row>
    <row r="217" ht="15.75" customHeight="1">
      <c r="B217" s="24"/>
      <c r="F217" s="24"/>
      <c r="G217" s="24"/>
    </row>
    <row r="218" ht="15.75" customHeight="1">
      <c r="B218" s="24"/>
      <c r="F218" s="24"/>
      <c r="G218" s="24"/>
    </row>
    <row r="219" ht="15.75" customHeight="1">
      <c r="B219" s="24"/>
      <c r="F219" s="24"/>
      <c r="G219" s="24"/>
    </row>
    <row r="220" ht="15.75" customHeight="1">
      <c r="B220" s="24"/>
      <c r="F220" s="24"/>
      <c r="G220" s="24"/>
    </row>
    <row r="221" ht="15.75" customHeight="1">
      <c r="B221" s="24"/>
      <c r="F221" s="24"/>
      <c r="G221" s="24"/>
    </row>
    <row r="222" ht="15.75" customHeight="1">
      <c r="B222" s="24"/>
      <c r="F222" s="24"/>
      <c r="G222" s="24"/>
    </row>
    <row r="223" ht="15.75" customHeight="1">
      <c r="B223" s="24"/>
      <c r="F223" s="24"/>
      <c r="G223" s="24"/>
    </row>
    <row r="224" ht="15.75" customHeight="1">
      <c r="B224" s="24"/>
      <c r="F224" s="24"/>
      <c r="G224" s="24"/>
    </row>
    <row r="225" ht="15.75" customHeight="1">
      <c r="B225" s="24"/>
      <c r="F225" s="24"/>
      <c r="G225" s="24"/>
    </row>
    <row r="226" ht="15.75" customHeight="1">
      <c r="B226" s="24"/>
      <c r="F226" s="24"/>
      <c r="G226" s="24"/>
    </row>
    <row r="227" ht="15.75" customHeight="1">
      <c r="B227" s="24"/>
      <c r="F227" s="24"/>
      <c r="G227" s="24"/>
    </row>
    <row r="228" ht="15.75" customHeight="1">
      <c r="B228" s="24"/>
      <c r="F228" s="24"/>
      <c r="G228" s="24"/>
    </row>
    <row r="229" ht="15.75" customHeight="1">
      <c r="B229" s="24"/>
      <c r="F229" s="24"/>
      <c r="G229" s="24"/>
    </row>
    <row r="230" ht="15.75" customHeight="1">
      <c r="B230" s="24"/>
      <c r="F230" s="24"/>
      <c r="G230" s="24"/>
    </row>
    <row r="231" ht="15.75" customHeight="1">
      <c r="B231" s="24"/>
      <c r="F231" s="24"/>
      <c r="G231" s="24"/>
    </row>
    <row r="232" ht="15.75" customHeight="1">
      <c r="B232" s="24"/>
      <c r="F232" s="24"/>
      <c r="G232" s="24"/>
    </row>
    <row r="233" ht="15.75" customHeight="1">
      <c r="B233" s="24"/>
      <c r="F233" s="24"/>
      <c r="G233" s="24"/>
    </row>
    <row r="234" ht="15.75" customHeight="1">
      <c r="B234" s="24"/>
      <c r="F234" s="24"/>
      <c r="G234" s="24"/>
    </row>
    <row r="235" ht="15.75" customHeight="1">
      <c r="B235" s="24"/>
      <c r="F235" s="24"/>
      <c r="G235" s="24"/>
    </row>
    <row r="236" ht="15.75" customHeight="1">
      <c r="B236" s="24"/>
      <c r="F236" s="24"/>
      <c r="G236" s="24"/>
    </row>
    <row r="237" ht="15.75" customHeight="1">
      <c r="B237" s="24"/>
      <c r="F237" s="24"/>
      <c r="G237" s="24"/>
    </row>
    <row r="238" ht="15.75" customHeight="1">
      <c r="B238" s="24"/>
      <c r="F238" s="24"/>
      <c r="G238" s="24"/>
    </row>
    <row r="239" ht="15.75" customHeight="1">
      <c r="B239" s="24"/>
      <c r="F239" s="24"/>
      <c r="G239" s="24"/>
    </row>
    <row r="240" ht="15.75" customHeight="1">
      <c r="B240" s="24"/>
      <c r="F240" s="24"/>
      <c r="G240" s="24"/>
    </row>
    <row r="241" ht="15.75" customHeight="1">
      <c r="B241" s="24"/>
      <c r="F241" s="24"/>
      <c r="G241" s="24"/>
    </row>
    <row r="242" ht="15.75" customHeight="1">
      <c r="B242" s="24"/>
      <c r="F242" s="24"/>
      <c r="G242" s="24"/>
    </row>
    <row r="243" ht="15.75" customHeight="1">
      <c r="B243" s="24"/>
      <c r="F243" s="24"/>
      <c r="G243" s="24"/>
    </row>
    <row r="244" ht="15.75" customHeight="1">
      <c r="B244" s="24"/>
      <c r="F244" s="24"/>
      <c r="G244" s="24"/>
    </row>
    <row r="245" ht="15.75" customHeight="1">
      <c r="B245" s="24"/>
      <c r="F245" s="24"/>
      <c r="G245" s="24"/>
    </row>
    <row r="246" ht="15.75" customHeight="1">
      <c r="B246" s="24"/>
      <c r="F246" s="24"/>
      <c r="G246" s="24"/>
    </row>
    <row r="247" ht="15.75" customHeight="1">
      <c r="B247" s="24"/>
      <c r="F247" s="24"/>
      <c r="G247" s="24"/>
    </row>
    <row r="248" ht="15.75" customHeight="1">
      <c r="B248" s="24"/>
      <c r="F248" s="24"/>
      <c r="G248" s="24"/>
    </row>
    <row r="249" ht="15.75" customHeight="1">
      <c r="B249" s="24"/>
      <c r="F249" s="24"/>
      <c r="G249" s="24"/>
    </row>
    <row r="250" ht="15.75" customHeight="1">
      <c r="B250" s="24"/>
      <c r="F250" s="24"/>
      <c r="G250" s="24"/>
    </row>
    <row r="251" ht="15.75" customHeight="1">
      <c r="B251" s="24"/>
      <c r="F251" s="24"/>
      <c r="G251" s="24"/>
    </row>
    <row r="252" ht="15.75" customHeight="1">
      <c r="B252" s="24"/>
      <c r="F252" s="24"/>
      <c r="G252" s="24"/>
    </row>
    <row r="253" ht="15.75" customHeight="1">
      <c r="B253" s="24"/>
      <c r="F253" s="24"/>
      <c r="G253" s="24"/>
    </row>
    <row r="254" ht="15.75" customHeight="1">
      <c r="B254" s="24"/>
      <c r="F254" s="24"/>
      <c r="G254" s="24"/>
    </row>
    <row r="255" ht="15.75" customHeight="1">
      <c r="B255" s="24"/>
      <c r="F255" s="24"/>
      <c r="G255" s="24"/>
    </row>
    <row r="256" ht="15.75" customHeight="1">
      <c r="B256" s="24"/>
      <c r="F256" s="24"/>
      <c r="G256" s="24"/>
    </row>
    <row r="257" ht="15.75" customHeight="1">
      <c r="B257" s="24"/>
      <c r="F257" s="24"/>
      <c r="G257" s="24"/>
    </row>
    <row r="258" ht="15.75" customHeight="1">
      <c r="B258" s="24"/>
      <c r="F258" s="24"/>
      <c r="G258" s="24"/>
    </row>
    <row r="259" ht="15.75" customHeight="1">
      <c r="B259" s="24"/>
      <c r="F259" s="24"/>
      <c r="G259" s="24"/>
    </row>
    <row r="260" ht="15.75" customHeight="1">
      <c r="B260" s="24"/>
      <c r="F260" s="24"/>
      <c r="G260" s="24"/>
    </row>
    <row r="261" ht="15.75" customHeight="1">
      <c r="B261" s="24"/>
      <c r="F261" s="24"/>
      <c r="G261" s="24"/>
    </row>
    <row r="262" ht="15.75" customHeight="1">
      <c r="B262" s="24"/>
      <c r="F262" s="24"/>
      <c r="G262" s="24"/>
    </row>
    <row r="263" ht="15.75" customHeight="1">
      <c r="B263" s="24"/>
      <c r="F263" s="24"/>
      <c r="G263" s="24"/>
    </row>
    <row r="264" ht="15.75" customHeight="1">
      <c r="B264" s="24"/>
      <c r="F264" s="24"/>
      <c r="G264" s="24"/>
    </row>
    <row r="265" ht="15.75" customHeight="1">
      <c r="B265" s="24"/>
      <c r="F265" s="24"/>
      <c r="G265" s="24"/>
    </row>
    <row r="266" ht="15.75" customHeight="1">
      <c r="B266" s="24"/>
      <c r="F266" s="24"/>
      <c r="G266" s="24"/>
    </row>
    <row r="267" ht="15.75" customHeight="1">
      <c r="B267" s="24"/>
      <c r="F267" s="24"/>
      <c r="G267" s="24"/>
    </row>
    <row r="268" ht="15.75" customHeight="1">
      <c r="B268" s="24"/>
      <c r="F268" s="24"/>
      <c r="G268" s="24"/>
    </row>
    <row r="269" ht="15.75" customHeight="1">
      <c r="B269" s="24"/>
      <c r="F269" s="24"/>
      <c r="G269" s="24"/>
    </row>
    <row r="270" ht="15.75" customHeight="1">
      <c r="B270" s="24"/>
      <c r="F270" s="24"/>
      <c r="G270" s="24"/>
    </row>
    <row r="271" ht="15.75" customHeight="1">
      <c r="B271" s="24"/>
      <c r="F271" s="24"/>
      <c r="G271" s="24"/>
    </row>
    <row r="272" ht="15.75" customHeight="1">
      <c r="B272" s="24"/>
      <c r="F272" s="24"/>
      <c r="G272" s="24"/>
    </row>
    <row r="273" ht="15.75" customHeight="1">
      <c r="B273" s="24"/>
      <c r="F273" s="24"/>
      <c r="G273" s="24"/>
    </row>
    <row r="274" ht="15.75" customHeight="1">
      <c r="B274" s="24"/>
      <c r="F274" s="24"/>
      <c r="G274" s="24"/>
    </row>
    <row r="275" ht="15.75" customHeight="1">
      <c r="B275" s="24"/>
      <c r="F275" s="24"/>
      <c r="G275" s="24"/>
    </row>
    <row r="276" ht="15.75" customHeight="1">
      <c r="B276" s="24"/>
      <c r="F276" s="24"/>
      <c r="G276" s="24"/>
    </row>
    <row r="277" ht="15.75" customHeight="1">
      <c r="B277" s="24"/>
      <c r="F277" s="24"/>
      <c r="G277" s="24"/>
    </row>
    <row r="278" ht="15.75" customHeight="1">
      <c r="B278" s="24"/>
      <c r="F278" s="24"/>
      <c r="G278" s="24"/>
    </row>
    <row r="279" ht="15.75" customHeight="1">
      <c r="B279" s="24"/>
      <c r="F279" s="24"/>
      <c r="G279" s="24"/>
    </row>
    <row r="280" ht="15.75" customHeight="1">
      <c r="B280" s="24"/>
      <c r="F280" s="24"/>
      <c r="G280" s="24"/>
    </row>
    <row r="281" ht="15.75" customHeight="1">
      <c r="B281" s="24"/>
      <c r="F281" s="24"/>
      <c r="G281" s="24"/>
    </row>
    <row r="282" ht="15.75" customHeight="1">
      <c r="B282" s="24"/>
      <c r="F282" s="24"/>
      <c r="G282" s="24"/>
    </row>
    <row r="283" ht="15.75" customHeight="1">
      <c r="B283" s="24"/>
      <c r="F283" s="24"/>
      <c r="G283" s="24"/>
    </row>
    <row r="284" ht="15.75" customHeight="1">
      <c r="B284" s="24"/>
      <c r="F284" s="24"/>
      <c r="G284" s="24"/>
    </row>
    <row r="285" ht="15.75" customHeight="1">
      <c r="B285" s="24"/>
      <c r="F285" s="24"/>
      <c r="G285" s="24"/>
    </row>
    <row r="286" ht="15.75" customHeight="1">
      <c r="B286" s="24"/>
      <c r="F286" s="24"/>
      <c r="G286" s="24"/>
    </row>
    <row r="287" ht="15.75" customHeight="1">
      <c r="B287" s="24"/>
      <c r="F287" s="24"/>
      <c r="G287" s="24"/>
    </row>
    <row r="288" ht="15.75" customHeight="1">
      <c r="B288" s="24"/>
      <c r="F288" s="24"/>
      <c r="G288" s="24"/>
    </row>
    <row r="289" ht="15.75" customHeight="1">
      <c r="B289" s="24"/>
      <c r="F289" s="24"/>
      <c r="G289" s="24"/>
    </row>
    <row r="290" ht="15.75" customHeight="1">
      <c r="B290" s="24"/>
      <c r="F290" s="24"/>
      <c r="G290" s="24"/>
    </row>
    <row r="291" ht="15.75" customHeight="1">
      <c r="B291" s="24"/>
      <c r="F291" s="24"/>
      <c r="G291" s="24"/>
    </row>
    <row r="292" ht="15.75" customHeight="1">
      <c r="B292" s="24"/>
      <c r="F292" s="24"/>
      <c r="G292" s="24"/>
    </row>
    <row r="293" ht="15.75" customHeight="1">
      <c r="B293" s="24"/>
      <c r="F293" s="24"/>
      <c r="G293" s="24"/>
    </row>
    <row r="294" ht="15.75" customHeight="1">
      <c r="B294" s="24"/>
      <c r="F294" s="24"/>
      <c r="G294" s="24"/>
    </row>
    <row r="295" ht="15.75" customHeight="1">
      <c r="B295" s="24"/>
      <c r="F295" s="24"/>
      <c r="G295" s="24"/>
    </row>
    <row r="296" ht="15.75" customHeight="1">
      <c r="B296" s="24"/>
      <c r="F296" s="24"/>
      <c r="G296" s="24"/>
    </row>
    <row r="297" ht="15.75" customHeight="1">
      <c r="B297" s="24"/>
      <c r="F297" s="24"/>
      <c r="G297" s="24"/>
    </row>
    <row r="298" ht="15.75" customHeight="1">
      <c r="B298" s="24"/>
      <c r="F298" s="24"/>
      <c r="G298" s="24"/>
    </row>
    <row r="299" ht="15.75" customHeight="1">
      <c r="B299" s="24"/>
      <c r="F299" s="24"/>
      <c r="G299" s="24"/>
    </row>
    <row r="300" ht="15.75" customHeight="1">
      <c r="B300" s="24"/>
      <c r="F300" s="24"/>
      <c r="G300" s="24"/>
    </row>
    <row r="301" ht="15.75" customHeight="1">
      <c r="B301" s="24"/>
      <c r="F301" s="24"/>
      <c r="G301" s="24"/>
    </row>
    <row r="302" ht="15.75" customHeight="1">
      <c r="B302" s="24"/>
      <c r="F302" s="24"/>
      <c r="G302" s="24"/>
    </row>
    <row r="303" ht="15.75" customHeight="1">
      <c r="B303" s="24"/>
      <c r="F303" s="24"/>
      <c r="G303" s="24"/>
    </row>
    <row r="304" ht="15.75" customHeight="1">
      <c r="B304" s="24"/>
      <c r="F304" s="24"/>
      <c r="G304" s="24"/>
    </row>
    <row r="305" ht="15.75" customHeight="1">
      <c r="B305" s="24"/>
      <c r="F305" s="24"/>
      <c r="G305" s="24"/>
    </row>
    <row r="306" ht="15.75" customHeight="1">
      <c r="B306" s="24"/>
      <c r="F306" s="24"/>
      <c r="G306" s="24"/>
    </row>
    <row r="307" ht="15.75" customHeight="1">
      <c r="B307" s="24"/>
      <c r="F307" s="24"/>
      <c r="G307" s="24"/>
    </row>
    <row r="308" ht="15.75" customHeight="1">
      <c r="B308" s="24"/>
      <c r="F308" s="24"/>
      <c r="G308" s="24"/>
    </row>
    <row r="309" ht="15.75" customHeight="1">
      <c r="B309" s="24"/>
      <c r="F309" s="24"/>
      <c r="G309" s="24"/>
    </row>
    <row r="310" ht="15.75" customHeight="1">
      <c r="B310" s="24"/>
      <c r="F310" s="24"/>
      <c r="G310" s="24"/>
    </row>
    <row r="311" ht="15.75" customHeight="1">
      <c r="B311" s="24"/>
      <c r="F311" s="24"/>
      <c r="G311" s="24"/>
    </row>
    <row r="312" ht="15.75" customHeight="1">
      <c r="B312" s="24"/>
      <c r="F312" s="24"/>
      <c r="G312" s="24"/>
    </row>
    <row r="313" ht="15.75" customHeight="1">
      <c r="B313" s="24"/>
      <c r="F313" s="24"/>
      <c r="G313" s="24"/>
    </row>
    <row r="314" ht="15.75" customHeight="1">
      <c r="B314" s="24"/>
      <c r="F314" s="24"/>
      <c r="G314" s="24"/>
    </row>
    <row r="315" ht="15.75" customHeight="1">
      <c r="B315" s="24"/>
      <c r="F315" s="24"/>
      <c r="G315" s="24"/>
    </row>
    <row r="316" ht="15.75" customHeight="1">
      <c r="B316" s="24"/>
      <c r="F316" s="24"/>
      <c r="G316" s="24"/>
    </row>
    <row r="317" ht="15.75" customHeight="1">
      <c r="B317" s="24"/>
      <c r="F317" s="24"/>
      <c r="G317" s="24"/>
    </row>
    <row r="318" ht="15.75" customHeight="1">
      <c r="B318" s="24"/>
      <c r="F318" s="24"/>
      <c r="G318" s="24"/>
    </row>
    <row r="319" ht="15.75" customHeight="1">
      <c r="B319" s="24"/>
      <c r="F319" s="24"/>
      <c r="G319" s="24"/>
    </row>
    <row r="320" ht="15.75" customHeight="1">
      <c r="B320" s="24"/>
      <c r="F320" s="24"/>
      <c r="G320" s="24"/>
    </row>
    <row r="321" ht="15.75" customHeight="1">
      <c r="B321" s="24"/>
      <c r="F321" s="24"/>
      <c r="G321" s="24"/>
    </row>
    <row r="322" ht="15.75" customHeight="1">
      <c r="B322" s="24"/>
      <c r="F322" s="24"/>
      <c r="G322" s="24"/>
    </row>
    <row r="323" ht="15.75" customHeight="1">
      <c r="B323" s="24"/>
      <c r="F323" s="24"/>
      <c r="G323" s="24"/>
    </row>
    <row r="324" ht="15.75" customHeight="1">
      <c r="B324" s="24"/>
      <c r="F324" s="24"/>
      <c r="G324" s="24"/>
    </row>
    <row r="325" ht="15.75" customHeight="1">
      <c r="B325" s="24"/>
      <c r="F325" s="24"/>
      <c r="G325" s="24"/>
    </row>
    <row r="326" ht="15.75" customHeight="1">
      <c r="B326" s="24"/>
      <c r="F326" s="24"/>
      <c r="G326" s="24"/>
    </row>
    <row r="327" ht="15.75" customHeight="1">
      <c r="B327" s="24"/>
      <c r="F327" s="24"/>
      <c r="G327" s="24"/>
    </row>
    <row r="328" ht="15.75" customHeight="1">
      <c r="B328" s="24"/>
      <c r="F328" s="24"/>
      <c r="G328" s="24"/>
    </row>
    <row r="329" ht="15.75" customHeight="1">
      <c r="B329" s="24"/>
      <c r="F329" s="24"/>
      <c r="G329" s="24"/>
    </row>
    <row r="330" ht="15.75" customHeight="1">
      <c r="B330" s="24"/>
      <c r="F330" s="24"/>
      <c r="G330" s="24"/>
    </row>
    <row r="331" ht="15.75" customHeight="1">
      <c r="B331" s="24"/>
      <c r="F331" s="24"/>
      <c r="G331" s="24"/>
    </row>
    <row r="332" ht="15.75" customHeight="1">
      <c r="B332" s="24"/>
      <c r="F332" s="24"/>
      <c r="G332" s="24"/>
    </row>
    <row r="333" ht="15.75" customHeight="1">
      <c r="B333" s="24"/>
      <c r="F333" s="24"/>
      <c r="G333" s="24"/>
    </row>
    <row r="334" ht="15.75" customHeight="1">
      <c r="B334" s="24"/>
      <c r="F334" s="24"/>
      <c r="G334" s="24"/>
    </row>
    <row r="335" ht="15.75" customHeight="1">
      <c r="B335" s="24"/>
      <c r="F335" s="24"/>
      <c r="G335" s="24"/>
    </row>
    <row r="336" ht="15.75" customHeight="1">
      <c r="B336" s="24"/>
      <c r="F336" s="24"/>
      <c r="G336" s="24"/>
    </row>
    <row r="337" ht="15.75" customHeight="1">
      <c r="B337" s="24"/>
      <c r="F337" s="24"/>
      <c r="G337" s="24"/>
    </row>
    <row r="338" ht="15.75" customHeight="1">
      <c r="B338" s="24"/>
      <c r="F338" s="24"/>
      <c r="G338" s="24"/>
    </row>
    <row r="339" ht="15.75" customHeight="1">
      <c r="B339" s="24"/>
      <c r="F339" s="24"/>
      <c r="G339" s="24"/>
    </row>
    <row r="340" ht="15.75" customHeight="1">
      <c r="B340" s="24"/>
      <c r="F340" s="24"/>
      <c r="G340" s="24"/>
    </row>
    <row r="341" ht="15.75" customHeight="1">
      <c r="B341" s="24"/>
      <c r="F341" s="24"/>
      <c r="G341" s="24"/>
    </row>
    <row r="342" ht="15.75" customHeight="1">
      <c r="B342" s="24"/>
      <c r="F342" s="24"/>
      <c r="G342" s="24"/>
    </row>
    <row r="343" ht="15.75" customHeight="1">
      <c r="B343" s="24"/>
      <c r="F343" s="24"/>
      <c r="G343" s="24"/>
    </row>
    <row r="344" ht="15.75" customHeight="1">
      <c r="B344" s="24"/>
      <c r="F344" s="24"/>
      <c r="G344" s="24"/>
    </row>
    <row r="345" ht="15.75" customHeight="1">
      <c r="B345" s="24"/>
      <c r="F345" s="24"/>
      <c r="G345" s="24"/>
    </row>
    <row r="346" ht="15.75" customHeight="1">
      <c r="B346" s="24"/>
      <c r="F346" s="24"/>
      <c r="G346" s="24"/>
    </row>
    <row r="347" ht="15.75" customHeight="1">
      <c r="B347" s="24"/>
      <c r="F347" s="24"/>
      <c r="G347" s="24"/>
    </row>
    <row r="348" ht="15.75" customHeight="1">
      <c r="B348" s="24"/>
      <c r="F348" s="24"/>
      <c r="G348" s="24"/>
    </row>
    <row r="349" ht="15.75" customHeight="1">
      <c r="B349" s="24"/>
      <c r="F349" s="24"/>
      <c r="G349" s="24"/>
    </row>
    <row r="350" ht="15.75" customHeight="1">
      <c r="B350" s="24"/>
      <c r="F350" s="24"/>
      <c r="G350" s="24"/>
    </row>
    <row r="351" ht="15.75" customHeight="1">
      <c r="B351" s="24"/>
      <c r="F351" s="24"/>
      <c r="G351" s="24"/>
    </row>
    <row r="352" ht="15.75" customHeight="1">
      <c r="B352" s="24"/>
      <c r="F352" s="24"/>
      <c r="G352" s="24"/>
    </row>
    <row r="353" ht="15.75" customHeight="1">
      <c r="B353" s="24"/>
      <c r="F353" s="24"/>
      <c r="G353" s="24"/>
    </row>
    <row r="354" ht="15.75" customHeight="1">
      <c r="B354" s="24"/>
      <c r="F354" s="24"/>
      <c r="G354" s="24"/>
    </row>
    <row r="355" ht="15.75" customHeight="1">
      <c r="B355" s="24"/>
      <c r="F355" s="24"/>
      <c r="G355" s="24"/>
    </row>
    <row r="356" ht="15.75" customHeight="1">
      <c r="B356" s="24"/>
      <c r="F356" s="24"/>
      <c r="G356" s="24"/>
    </row>
    <row r="357" ht="15.75" customHeight="1">
      <c r="B357" s="24"/>
      <c r="F357" s="24"/>
      <c r="G357" s="24"/>
    </row>
    <row r="358" ht="15.75" customHeight="1">
      <c r="B358" s="24"/>
      <c r="F358" s="24"/>
      <c r="G358" s="24"/>
    </row>
    <row r="359" ht="15.75" customHeight="1">
      <c r="B359" s="24"/>
      <c r="F359" s="24"/>
      <c r="G359" s="24"/>
    </row>
    <row r="360" ht="15.75" customHeight="1">
      <c r="B360" s="24"/>
      <c r="F360" s="24"/>
      <c r="G360" s="24"/>
    </row>
    <row r="361" ht="15.75" customHeight="1">
      <c r="B361" s="24"/>
      <c r="F361" s="24"/>
      <c r="G361" s="24"/>
    </row>
    <row r="362" ht="15.75" customHeight="1">
      <c r="B362" s="24"/>
      <c r="F362" s="24"/>
      <c r="G362" s="24"/>
    </row>
    <row r="363" ht="15.75" customHeight="1">
      <c r="B363" s="24"/>
      <c r="F363" s="24"/>
      <c r="G363" s="24"/>
    </row>
    <row r="364" ht="15.75" customHeight="1">
      <c r="B364" s="24"/>
      <c r="F364" s="24"/>
      <c r="G364" s="24"/>
    </row>
    <row r="365" ht="15.75" customHeight="1">
      <c r="B365" s="24"/>
      <c r="F365" s="24"/>
      <c r="G365" s="24"/>
    </row>
    <row r="366" ht="15.75" customHeight="1">
      <c r="B366" s="24"/>
      <c r="F366" s="24"/>
      <c r="G366" s="24"/>
    </row>
    <row r="367" ht="15.75" customHeight="1">
      <c r="B367" s="24"/>
      <c r="F367" s="24"/>
      <c r="G367" s="24"/>
    </row>
    <row r="368" ht="15.75" customHeight="1">
      <c r="B368" s="24"/>
      <c r="F368" s="24"/>
      <c r="G368" s="24"/>
    </row>
    <row r="369" ht="15.75" customHeight="1">
      <c r="B369" s="24"/>
      <c r="F369" s="24"/>
      <c r="G369" s="24"/>
    </row>
    <row r="370" ht="15.75" customHeight="1">
      <c r="B370" s="24"/>
      <c r="F370" s="24"/>
      <c r="G370" s="24"/>
    </row>
    <row r="371" ht="15.75" customHeight="1">
      <c r="B371" s="24"/>
      <c r="F371" s="24"/>
      <c r="G371" s="24"/>
    </row>
    <row r="372" ht="15.75" customHeight="1">
      <c r="B372" s="24"/>
      <c r="F372" s="24"/>
      <c r="G372" s="24"/>
    </row>
    <row r="373" ht="15.75" customHeight="1">
      <c r="B373" s="24"/>
      <c r="F373" s="24"/>
      <c r="G373" s="24"/>
    </row>
    <row r="374" ht="15.75" customHeight="1">
      <c r="B374" s="24"/>
      <c r="F374" s="24"/>
      <c r="G374" s="24"/>
    </row>
    <row r="375" ht="15.75" customHeight="1">
      <c r="B375" s="24"/>
      <c r="F375" s="24"/>
      <c r="G375" s="24"/>
    </row>
    <row r="376" ht="15.75" customHeight="1">
      <c r="B376" s="24"/>
      <c r="F376" s="24"/>
      <c r="G376" s="24"/>
    </row>
    <row r="377" ht="15.75" customHeight="1">
      <c r="B377" s="24"/>
      <c r="F377" s="24"/>
      <c r="G377" s="24"/>
    </row>
    <row r="378" ht="15.75" customHeight="1">
      <c r="B378" s="24"/>
      <c r="F378" s="24"/>
      <c r="G378" s="24"/>
    </row>
    <row r="379" ht="15.75" customHeight="1">
      <c r="B379" s="24"/>
      <c r="F379" s="24"/>
      <c r="G379" s="24"/>
    </row>
    <row r="380" ht="15.75" customHeight="1">
      <c r="B380" s="24"/>
      <c r="F380" s="24"/>
      <c r="G380" s="24"/>
    </row>
    <row r="381" ht="15.75" customHeight="1">
      <c r="B381" s="24"/>
      <c r="F381" s="24"/>
      <c r="G381" s="24"/>
    </row>
    <row r="382" ht="15.75" customHeight="1">
      <c r="B382" s="24"/>
      <c r="F382" s="24"/>
      <c r="G382" s="24"/>
    </row>
    <row r="383" ht="15.75" customHeight="1">
      <c r="B383" s="24"/>
      <c r="F383" s="24"/>
      <c r="G383" s="24"/>
    </row>
    <row r="384" ht="15.75" customHeight="1">
      <c r="B384" s="24"/>
      <c r="F384" s="24"/>
      <c r="G384" s="24"/>
    </row>
    <row r="385" ht="15.75" customHeight="1">
      <c r="B385" s="24"/>
      <c r="F385" s="24"/>
      <c r="G385" s="24"/>
    </row>
    <row r="386" ht="15.75" customHeight="1">
      <c r="B386" s="24"/>
      <c r="F386" s="24"/>
      <c r="G386" s="24"/>
    </row>
    <row r="387" ht="15.75" customHeight="1">
      <c r="B387" s="24"/>
      <c r="F387" s="24"/>
      <c r="G387" s="24"/>
    </row>
    <row r="388" ht="15.75" customHeight="1">
      <c r="B388" s="24"/>
      <c r="F388" s="24"/>
      <c r="G388" s="24"/>
    </row>
    <row r="389" ht="15.75" customHeight="1">
      <c r="B389" s="24"/>
      <c r="F389" s="24"/>
      <c r="G389" s="24"/>
    </row>
    <row r="390" ht="15.75" customHeight="1">
      <c r="B390" s="24"/>
      <c r="F390" s="24"/>
      <c r="G390" s="24"/>
    </row>
    <row r="391" ht="15.75" customHeight="1">
      <c r="B391" s="24"/>
      <c r="F391" s="24"/>
      <c r="G391" s="24"/>
    </row>
    <row r="392" ht="15.75" customHeight="1">
      <c r="B392" s="24"/>
      <c r="F392" s="24"/>
      <c r="G392" s="24"/>
    </row>
    <row r="393" ht="15.75" customHeight="1">
      <c r="B393" s="24"/>
      <c r="F393" s="24"/>
      <c r="G393" s="24"/>
    </row>
    <row r="394" ht="15.75" customHeight="1">
      <c r="B394" s="24"/>
      <c r="F394" s="24"/>
      <c r="G394" s="24"/>
    </row>
    <row r="395" ht="15.75" customHeight="1">
      <c r="B395" s="24"/>
      <c r="F395" s="24"/>
      <c r="G395" s="24"/>
    </row>
    <row r="396" ht="15.75" customHeight="1">
      <c r="B396" s="24"/>
      <c r="F396" s="24"/>
      <c r="G396" s="24"/>
    </row>
    <row r="397" ht="15.75" customHeight="1">
      <c r="B397" s="24"/>
      <c r="F397" s="24"/>
      <c r="G397" s="24"/>
    </row>
    <row r="398" ht="15.75" customHeight="1">
      <c r="B398" s="24"/>
      <c r="F398" s="24"/>
      <c r="G398" s="24"/>
    </row>
    <row r="399" ht="15.75" customHeight="1">
      <c r="B399" s="24"/>
      <c r="F399" s="24"/>
      <c r="G399" s="24"/>
    </row>
    <row r="400" ht="15.75" customHeight="1">
      <c r="B400" s="24"/>
      <c r="F400" s="24"/>
      <c r="G400" s="24"/>
    </row>
    <row r="401" ht="15.75" customHeight="1">
      <c r="B401" s="24"/>
      <c r="F401" s="24"/>
      <c r="G401" s="24"/>
    </row>
    <row r="402" ht="15.75" customHeight="1">
      <c r="B402" s="24"/>
      <c r="F402" s="24"/>
      <c r="G402" s="24"/>
    </row>
    <row r="403" ht="15.75" customHeight="1">
      <c r="B403" s="24"/>
      <c r="F403" s="24"/>
      <c r="G403" s="24"/>
    </row>
    <row r="404" ht="15.75" customHeight="1">
      <c r="B404" s="24"/>
      <c r="F404" s="24"/>
      <c r="G404" s="24"/>
    </row>
    <row r="405" ht="15.75" customHeight="1">
      <c r="B405" s="24"/>
      <c r="F405" s="24"/>
      <c r="G405" s="24"/>
    </row>
    <row r="406" ht="15.75" customHeight="1">
      <c r="B406" s="24"/>
      <c r="F406" s="24"/>
      <c r="G406" s="24"/>
    </row>
    <row r="407" ht="15.75" customHeight="1">
      <c r="B407" s="24"/>
      <c r="F407" s="24"/>
      <c r="G407" s="24"/>
    </row>
    <row r="408" ht="15.75" customHeight="1">
      <c r="B408" s="24"/>
      <c r="F408" s="24"/>
      <c r="G408" s="24"/>
    </row>
    <row r="409" ht="15.75" customHeight="1">
      <c r="B409" s="24"/>
      <c r="F409" s="24"/>
      <c r="G409" s="24"/>
    </row>
    <row r="410" ht="15.75" customHeight="1">
      <c r="B410" s="24"/>
      <c r="F410" s="24"/>
      <c r="G410" s="24"/>
    </row>
    <row r="411" ht="15.75" customHeight="1">
      <c r="B411" s="24"/>
      <c r="F411" s="24"/>
      <c r="G411" s="24"/>
    </row>
    <row r="412" ht="15.75" customHeight="1">
      <c r="B412" s="24"/>
      <c r="F412" s="24"/>
      <c r="G412" s="24"/>
    </row>
    <row r="413" ht="15.75" customHeight="1">
      <c r="B413" s="24"/>
      <c r="F413" s="24"/>
      <c r="G413" s="24"/>
    </row>
    <row r="414" ht="15.75" customHeight="1">
      <c r="B414" s="24"/>
      <c r="F414" s="24"/>
      <c r="G414" s="24"/>
    </row>
    <row r="415" ht="15.75" customHeight="1">
      <c r="B415" s="24"/>
      <c r="F415" s="24"/>
      <c r="G415" s="24"/>
    </row>
    <row r="416" ht="15.75" customHeight="1">
      <c r="B416" s="24"/>
      <c r="F416" s="24"/>
      <c r="G416" s="24"/>
    </row>
    <row r="417" ht="15.75" customHeight="1">
      <c r="B417" s="24"/>
      <c r="F417" s="24"/>
      <c r="G417" s="24"/>
    </row>
    <row r="418" ht="15.75" customHeight="1">
      <c r="B418" s="24"/>
      <c r="F418" s="24"/>
      <c r="G418" s="24"/>
    </row>
    <row r="419" ht="15.75" customHeight="1">
      <c r="B419" s="24"/>
      <c r="F419" s="24"/>
      <c r="G419" s="24"/>
    </row>
    <row r="420" ht="15.75" customHeight="1">
      <c r="B420" s="24"/>
      <c r="F420" s="24"/>
      <c r="G420" s="24"/>
    </row>
    <row r="421" ht="15.75" customHeight="1">
      <c r="B421" s="24"/>
      <c r="F421" s="24"/>
      <c r="G421" s="24"/>
    </row>
    <row r="422" ht="15.75" customHeight="1">
      <c r="B422" s="24"/>
      <c r="F422" s="24"/>
      <c r="G422" s="24"/>
    </row>
    <row r="423" ht="15.75" customHeight="1">
      <c r="B423" s="24"/>
      <c r="F423" s="24"/>
      <c r="G423" s="24"/>
    </row>
    <row r="424" ht="15.75" customHeight="1">
      <c r="B424" s="24"/>
      <c r="F424" s="24"/>
      <c r="G424" s="24"/>
    </row>
    <row r="425" ht="15.75" customHeight="1">
      <c r="B425" s="24"/>
      <c r="F425" s="24"/>
      <c r="G425" s="24"/>
    </row>
    <row r="426" ht="15.75" customHeight="1">
      <c r="B426" s="24"/>
      <c r="F426" s="24"/>
      <c r="G426" s="24"/>
    </row>
    <row r="427" ht="15.75" customHeight="1">
      <c r="B427" s="24"/>
      <c r="F427" s="24"/>
      <c r="G427" s="24"/>
    </row>
    <row r="428" ht="15.75" customHeight="1">
      <c r="B428" s="24"/>
      <c r="F428" s="24"/>
      <c r="G428" s="24"/>
    </row>
    <row r="429" ht="15.75" customHeight="1">
      <c r="B429" s="24"/>
      <c r="F429" s="24"/>
      <c r="G429" s="24"/>
    </row>
    <row r="430" ht="15.75" customHeight="1">
      <c r="B430" s="24"/>
      <c r="F430" s="24"/>
      <c r="G430" s="24"/>
    </row>
    <row r="431" ht="15.75" customHeight="1">
      <c r="B431" s="24"/>
      <c r="F431" s="24"/>
      <c r="G431" s="24"/>
    </row>
    <row r="432" ht="15.75" customHeight="1">
      <c r="B432" s="24"/>
      <c r="F432" s="24"/>
      <c r="G432" s="24"/>
    </row>
    <row r="433" ht="15.75" customHeight="1">
      <c r="B433" s="24"/>
      <c r="F433" s="24"/>
      <c r="G433" s="24"/>
    </row>
    <row r="434" ht="15.75" customHeight="1">
      <c r="B434" s="24"/>
      <c r="F434" s="24"/>
      <c r="G434" s="24"/>
    </row>
    <row r="435" ht="15.75" customHeight="1">
      <c r="B435" s="24"/>
      <c r="F435" s="24"/>
      <c r="G435" s="24"/>
    </row>
    <row r="436" ht="15.75" customHeight="1">
      <c r="B436" s="24"/>
      <c r="F436" s="24"/>
      <c r="G436" s="24"/>
    </row>
    <row r="437" ht="15.75" customHeight="1">
      <c r="B437" s="24"/>
      <c r="F437" s="24"/>
      <c r="G437" s="24"/>
    </row>
    <row r="438" ht="15.75" customHeight="1">
      <c r="B438" s="24"/>
      <c r="F438" s="24"/>
      <c r="G438" s="24"/>
    </row>
    <row r="439" ht="15.75" customHeight="1">
      <c r="B439" s="24"/>
      <c r="F439" s="24"/>
      <c r="G439" s="24"/>
    </row>
    <row r="440" ht="15.75" customHeight="1">
      <c r="B440" s="24"/>
      <c r="F440" s="24"/>
      <c r="G440" s="24"/>
    </row>
    <row r="441" ht="15.75" customHeight="1">
      <c r="B441" s="24"/>
      <c r="F441" s="24"/>
      <c r="G441" s="24"/>
    </row>
    <row r="442" ht="15.75" customHeight="1">
      <c r="B442" s="24"/>
      <c r="F442" s="24"/>
      <c r="G442" s="24"/>
    </row>
    <row r="443" ht="15.75" customHeight="1">
      <c r="B443" s="24"/>
      <c r="F443" s="24"/>
      <c r="G443" s="24"/>
    </row>
    <row r="444" ht="15.75" customHeight="1">
      <c r="B444" s="24"/>
      <c r="F444" s="24"/>
      <c r="G444" s="24"/>
    </row>
    <row r="445" ht="15.75" customHeight="1">
      <c r="B445" s="24"/>
      <c r="F445" s="24"/>
      <c r="G445" s="24"/>
    </row>
    <row r="446" ht="15.75" customHeight="1">
      <c r="B446" s="24"/>
      <c r="F446" s="24"/>
      <c r="G446" s="24"/>
    </row>
    <row r="447" ht="15.75" customHeight="1">
      <c r="B447" s="24"/>
      <c r="F447" s="24"/>
      <c r="G447" s="24"/>
    </row>
    <row r="448" ht="15.75" customHeight="1">
      <c r="B448" s="24"/>
      <c r="F448" s="24"/>
      <c r="G448" s="24"/>
    </row>
    <row r="449" ht="15.75" customHeight="1">
      <c r="B449" s="24"/>
      <c r="F449" s="24"/>
      <c r="G449" s="24"/>
    </row>
    <row r="450" ht="15.75" customHeight="1">
      <c r="B450" s="24"/>
      <c r="F450" s="24"/>
      <c r="G450" s="24"/>
    </row>
    <row r="451" ht="15.75" customHeight="1">
      <c r="B451" s="24"/>
      <c r="F451" s="24"/>
      <c r="G451" s="24"/>
    </row>
    <row r="452" ht="15.75" customHeight="1">
      <c r="B452" s="24"/>
      <c r="F452" s="24"/>
      <c r="G452" s="24"/>
    </row>
    <row r="453" ht="15.75" customHeight="1">
      <c r="B453" s="24"/>
      <c r="F453" s="24"/>
      <c r="G453" s="24"/>
    </row>
    <row r="454" ht="15.75" customHeight="1">
      <c r="B454" s="24"/>
      <c r="F454" s="24"/>
      <c r="G454" s="24"/>
    </row>
    <row r="455" ht="15.75" customHeight="1">
      <c r="B455" s="24"/>
      <c r="F455" s="24"/>
      <c r="G455" s="24"/>
    </row>
    <row r="456" ht="15.75" customHeight="1">
      <c r="B456" s="24"/>
      <c r="F456" s="24"/>
      <c r="G456" s="24"/>
    </row>
    <row r="457" ht="15.75" customHeight="1">
      <c r="B457" s="24"/>
      <c r="F457" s="24"/>
      <c r="G457" s="24"/>
    </row>
    <row r="458" ht="15.75" customHeight="1">
      <c r="B458" s="24"/>
      <c r="F458" s="24"/>
      <c r="G458" s="24"/>
    </row>
    <row r="459" ht="15.75" customHeight="1">
      <c r="B459" s="24"/>
      <c r="F459" s="24"/>
      <c r="G459" s="24"/>
    </row>
    <row r="460" ht="15.75" customHeight="1">
      <c r="B460" s="24"/>
      <c r="F460" s="24"/>
      <c r="G460" s="24"/>
    </row>
    <row r="461" ht="15.75" customHeight="1">
      <c r="B461" s="24"/>
      <c r="F461" s="24"/>
      <c r="G461" s="24"/>
    </row>
    <row r="462" ht="15.75" customHeight="1">
      <c r="B462" s="24"/>
      <c r="F462" s="24"/>
      <c r="G462" s="24"/>
    </row>
    <row r="463" ht="15.75" customHeight="1">
      <c r="B463" s="24"/>
      <c r="F463" s="24"/>
      <c r="G463" s="24"/>
    </row>
    <row r="464" ht="15.75" customHeight="1">
      <c r="B464" s="24"/>
      <c r="F464" s="24"/>
      <c r="G464" s="24"/>
    </row>
    <row r="465" ht="15.75" customHeight="1">
      <c r="B465" s="24"/>
      <c r="F465" s="24"/>
      <c r="G465" s="24"/>
    </row>
    <row r="466" ht="15.75" customHeight="1">
      <c r="B466" s="24"/>
      <c r="F466" s="24"/>
      <c r="G466" s="24"/>
    </row>
    <row r="467" ht="15.75" customHeight="1">
      <c r="B467" s="24"/>
      <c r="F467" s="24"/>
      <c r="G467" s="24"/>
    </row>
    <row r="468" ht="15.75" customHeight="1">
      <c r="B468" s="24"/>
      <c r="F468" s="24"/>
      <c r="G468" s="24"/>
    </row>
    <row r="469" ht="15.75" customHeight="1">
      <c r="B469" s="24"/>
      <c r="F469" s="24"/>
      <c r="G469" s="24"/>
    </row>
    <row r="470" ht="15.75" customHeight="1">
      <c r="B470" s="24"/>
      <c r="F470" s="24"/>
      <c r="G470" s="24"/>
    </row>
    <row r="471" ht="15.75" customHeight="1">
      <c r="B471" s="24"/>
      <c r="F471" s="24"/>
      <c r="G471" s="24"/>
    </row>
    <row r="472" ht="15.75" customHeight="1">
      <c r="B472" s="24"/>
      <c r="F472" s="24"/>
      <c r="G472" s="24"/>
    </row>
    <row r="473" ht="15.75" customHeight="1">
      <c r="B473" s="24"/>
      <c r="F473" s="24"/>
      <c r="G473" s="24"/>
    </row>
    <row r="474" ht="15.75" customHeight="1">
      <c r="B474" s="24"/>
      <c r="F474" s="24"/>
      <c r="G474" s="24"/>
    </row>
    <row r="475" ht="15.75" customHeight="1">
      <c r="B475" s="24"/>
      <c r="F475" s="24"/>
      <c r="G475" s="24"/>
    </row>
    <row r="476" ht="15.75" customHeight="1">
      <c r="B476" s="24"/>
      <c r="F476" s="24"/>
      <c r="G476" s="24"/>
    </row>
    <row r="477" ht="15.75" customHeight="1">
      <c r="B477" s="24"/>
      <c r="F477" s="24"/>
      <c r="G477" s="24"/>
    </row>
    <row r="478" ht="15.75" customHeight="1">
      <c r="B478" s="24"/>
      <c r="F478" s="24"/>
      <c r="G478" s="24"/>
    </row>
    <row r="479" ht="15.75" customHeight="1">
      <c r="B479" s="24"/>
      <c r="F479" s="24"/>
      <c r="G479" s="24"/>
    </row>
    <row r="480" ht="15.75" customHeight="1">
      <c r="B480" s="24"/>
      <c r="F480" s="24"/>
      <c r="G480" s="24"/>
    </row>
    <row r="481" ht="15.75" customHeight="1">
      <c r="B481" s="24"/>
      <c r="F481" s="24"/>
      <c r="G481" s="24"/>
    </row>
    <row r="482" ht="15.75" customHeight="1">
      <c r="B482" s="24"/>
      <c r="F482" s="24"/>
      <c r="G482" s="24"/>
    </row>
    <row r="483" ht="15.75" customHeight="1">
      <c r="B483" s="24"/>
      <c r="F483" s="24"/>
      <c r="G483" s="24"/>
    </row>
    <row r="484" ht="15.75" customHeight="1">
      <c r="B484" s="24"/>
      <c r="F484" s="24"/>
      <c r="G484" s="24"/>
    </row>
    <row r="485" ht="15.75" customHeight="1">
      <c r="B485" s="24"/>
      <c r="F485" s="24"/>
      <c r="G485" s="24"/>
    </row>
    <row r="486" ht="15.75" customHeight="1">
      <c r="B486" s="24"/>
      <c r="F486" s="24"/>
      <c r="G486" s="24"/>
    </row>
    <row r="487" ht="15.75" customHeight="1">
      <c r="B487" s="24"/>
      <c r="F487" s="24"/>
      <c r="G487" s="24"/>
    </row>
    <row r="488" ht="15.75" customHeight="1">
      <c r="B488" s="24"/>
      <c r="F488" s="24"/>
      <c r="G488" s="24"/>
    </row>
    <row r="489" ht="15.75" customHeight="1">
      <c r="B489" s="24"/>
      <c r="F489" s="24"/>
      <c r="G489" s="24"/>
    </row>
    <row r="490" ht="15.75" customHeight="1">
      <c r="B490" s="24"/>
      <c r="F490" s="24"/>
      <c r="G490" s="24"/>
    </row>
    <row r="491" ht="15.75" customHeight="1">
      <c r="B491" s="24"/>
      <c r="F491" s="24"/>
      <c r="G491" s="24"/>
    </row>
    <row r="492" ht="15.75" customHeight="1">
      <c r="B492" s="24"/>
      <c r="F492" s="24"/>
      <c r="G492" s="24"/>
    </row>
    <row r="493" ht="15.75" customHeight="1">
      <c r="B493" s="24"/>
      <c r="F493" s="24"/>
      <c r="G493" s="24"/>
    </row>
    <row r="494" ht="15.75" customHeight="1">
      <c r="B494" s="24"/>
      <c r="F494" s="24"/>
      <c r="G494" s="24"/>
    </row>
    <row r="495" ht="15.75" customHeight="1">
      <c r="B495" s="24"/>
      <c r="F495" s="24"/>
      <c r="G495" s="24"/>
    </row>
    <row r="496" ht="15.75" customHeight="1">
      <c r="B496" s="24"/>
      <c r="F496" s="24"/>
      <c r="G496" s="24"/>
    </row>
    <row r="497" ht="15.75" customHeight="1">
      <c r="B497" s="24"/>
      <c r="F497" s="24"/>
      <c r="G497" s="24"/>
    </row>
    <row r="498" ht="15.75" customHeight="1">
      <c r="B498" s="24"/>
      <c r="F498" s="24"/>
      <c r="G498" s="24"/>
    </row>
    <row r="499" ht="15.75" customHeight="1">
      <c r="B499" s="24"/>
      <c r="F499" s="24"/>
      <c r="G499" s="24"/>
    </row>
    <row r="500" ht="15.75" customHeight="1">
      <c r="B500" s="24"/>
      <c r="F500" s="24"/>
      <c r="G500" s="24"/>
    </row>
    <row r="501" ht="15.75" customHeight="1">
      <c r="B501" s="24"/>
      <c r="F501" s="24"/>
      <c r="G501" s="24"/>
    </row>
    <row r="502" ht="15.75" customHeight="1">
      <c r="B502" s="24"/>
      <c r="F502" s="24"/>
      <c r="G502" s="24"/>
    </row>
    <row r="503" ht="15.75" customHeight="1">
      <c r="B503" s="24"/>
      <c r="F503" s="24"/>
      <c r="G503" s="24"/>
    </row>
    <row r="504" ht="15.75" customHeight="1">
      <c r="B504" s="24"/>
      <c r="F504" s="24"/>
      <c r="G504" s="24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H2"/>
  </mergeCells>
  <conditionalFormatting sqref="B5:B1000">
    <cfRule type="expression" dxfId="0" priority="1">
      <formula>AND($F5&lt;&gt;"Complete",$E5&lt;TODAY(),$B5&lt;&gt;"")</formula>
    </cfRule>
  </conditionalFormatting>
  <conditionalFormatting sqref="C5:C1000">
    <cfRule type="expression" dxfId="0" priority="2">
      <formula>AND($F5&lt;&gt;"Complete",$E5&lt;TODAY(),$B5&lt;&gt;"")</formula>
    </cfRule>
  </conditionalFormatting>
  <conditionalFormatting sqref="D5:D1000">
    <cfRule type="expression" dxfId="0" priority="3">
      <formula>AND($F5&lt;&gt;"Complete",$E5&lt;TODAY(),$B5&lt;&gt;"")</formula>
    </cfRule>
  </conditionalFormatting>
  <conditionalFormatting sqref="E5:E1000">
    <cfRule type="expression" dxfId="0" priority="4">
      <formula>AND($F5&lt;&gt;"Complete",$E5&lt;TODAY(),$B5&lt;&gt;"")</formula>
    </cfRule>
  </conditionalFormatting>
  <conditionalFormatting sqref="F5:F1000">
    <cfRule type="expression" dxfId="0" priority="5">
      <formula>AND($F5&lt;&gt;"Complete",$E5&lt;TODAY(),$B5&lt;&gt;"")</formula>
    </cfRule>
  </conditionalFormatting>
  <conditionalFormatting sqref="G5:G1000">
    <cfRule type="expression" dxfId="0" priority="6">
      <formula>AND($F5&lt;&gt;"Complete",$E5&lt;TODAY(),$B5&lt;&gt;"")</formula>
    </cfRule>
  </conditionalFormatting>
  <conditionalFormatting sqref="H5:H1000">
    <cfRule type="expression" dxfId="0" priority="7">
      <formula>AND($F5&lt;&gt;"Complete",$E5&lt;TODAY(),$B5&lt;&gt;"")</formula>
    </cfRule>
  </conditionalFormatting>
  <dataValidations>
    <dataValidation type="list" allowBlank="1" sqref="F5:F504">
      <formula1>"Open,In Progress,Complete,Blocked"</formula1>
    </dataValidation>
    <dataValidation type="list" allowBlank="1" sqref="B5:B504">
      <formula1>'🗂 Customers'!$B$4:$B$103</formula1>
    </dataValidation>
    <dataValidation type="list" allowBlank="1" sqref="G5:G504">
      <formula1>"🔴 High,🟡 Medium,🟢 Low"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61C4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10" width="14.0"/>
    <col customWidth="1" min="11" max="26" width="8.71"/>
  </cols>
  <sheetData>
    <row r="1" ht="7.5" customHeight="1"/>
    <row r="2" ht="18.0" customHeight="1">
      <c r="B2" s="19" t="s">
        <v>113</v>
      </c>
      <c r="C2" s="9"/>
      <c r="D2" s="9"/>
      <c r="E2" s="9"/>
      <c r="F2" s="9"/>
      <c r="G2" s="9"/>
      <c r="H2" s="9"/>
      <c r="I2" s="9"/>
      <c r="J2" s="4"/>
    </row>
    <row r="3" ht="18.0" customHeight="1">
      <c r="B3" s="29" t="s">
        <v>114</v>
      </c>
      <c r="C3" s="9"/>
      <c r="D3" s="9"/>
      <c r="E3" s="9"/>
      <c r="F3" s="9"/>
      <c r="G3" s="9"/>
      <c r="H3" s="9"/>
      <c r="I3" s="9"/>
      <c r="J3" s="4"/>
    </row>
    <row r="4" ht="7.5" customHeight="1"/>
    <row r="5" ht="19.5" customHeight="1">
      <c r="B5" s="10" t="s">
        <v>7</v>
      </c>
      <c r="C5" s="10" t="s">
        <v>45</v>
      </c>
      <c r="D5" s="10" t="s">
        <v>25</v>
      </c>
      <c r="E5" s="10" t="s">
        <v>32</v>
      </c>
      <c r="F5" s="10" t="s">
        <v>38</v>
      </c>
      <c r="G5" s="10" t="s">
        <v>71</v>
      </c>
      <c r="H5" s="10" t="s">
        <v>9</v>
      </c>
      <c r="I5" s="10" t="s">
        <v>12</v>
      </c>
    </row>
    <row r="6" ht="19.5" customHeight="1">
      <c r="B6" s="11" t="str">
        <f>'🗂 Customers'!B4</f>
        <v>Sunrise Senior Living</v>
      </c>
      <c r="C6" s="14">
        <f>IFERROR(COUNTIFS('🏁 Milestones'!$D$5:$D$504,"Discovery",'🏁 Milestones'!$B$5:$B$504,$B6,'🏁 Milestones'!$G$5:$G$504,"Complete")/COUNTIFS('🏁 Milestones'!$D$5:$D$504,"Discovery",'🏁 Milestones'!$B$5:$B$504,$B6),"")</f>
        <v>1</v>
      </c>
      <c r="D6" s="14">
        <f>IFERROR(COUNTIFS('🏁 Milestones'!$D$5:$D$504,"Configuration",'🏁 Milestones'!$B$5:$B$504,$B6,'🏁 Milestones'!$G$5:$G$504,"Complete")/COUNTIFS('🏁 Milestones'!$D$5:$D$504,"Configuration",'🏁 Milestones'!$B$5:$B$504,$B6),"")</f>
        <v>0</v>
      </c>
      <c r="E6" s="14">
        <f>IFERROR(COUNTIFS('🏁 Milestones'!$D$5:$D$504,"Data Migration",'🏁 Milestones'!$B$5:$B$504,$B6,'🏁 Milestones'!$G$5:$G$504,"Complete")/COUNTIFS('🏁 Milestones'!$D$5:$D$504,"Data Migration",'🏁 Milestones'!$B$5:$B$504,$B6),"")</f>
        <v>0</v>
      </c>
      <c r="F6" s="14">
        <f>IFERROR(COUNTIFS('🏁 Milestones'!$D$5:$D$504,"Training",'🏁 Milestones'!$B$5:$B$504,$B6,'🏁 Milestones'!$G$5:$G$504,"Complete")/COUNTIFS('🏁 Milestones'!$D$5:$D$504,"Training",'🏁 Milestones'!$B$5:$B$504,$B6),"")</f>
        <v>0</v>
      </c>
      <c r="G6" s="14">
        <f>IFERROR(COUNTIFS('🏁 Milestones'!$D$5:$D$504,"UAT",'🏁 Milestones'!$B$5:$B$504,$B6,'🏁 Milestones'!$G$5:$G$504,"Complete")/COUNTIFS('🏁 Milestones'!$D$5:$D$504,"UAT",'🏁 Milestones'!$B$5:$B$504,$B6),"")</f>
        <v>0</v>
      </c>
      <c r="H6" s="14">
        <f>IFERROR(COUNTIFS('🏁 Milestones'!$D$5:$D$504,"Go-Live",'🏁 Milestones'!$B$5:$B$504,$B6,'🏁 Milestones'!$G$5:$G$504,"Complete")/COUNTIFS('🏁 Milestones'!$D$5:$D$504,"Go-Live",'🏁 Milestones'!$B$5:$B$504,$B6),"")</f>
        <v>0</v>
      </c>
      <c r="I6" s="30">
        <f>IFERROR(COUNTIFS('🏁 Milestones'!$B$5:$B$504,$B6,'🏁 Milestones'!$G$5:$G$504,"Complete")/COUNTIF('🏁 Milestones'!$B$5:$B$504,$B6),"")</f>
        <v>0.2857142857</v>
      </c>
    </row>
    <row r="7" ht="19.5" customHeight="1">
      <c r="B7" s="15" t="str">
        <f>'🗂 Customers'!B5</f>
        <v>Brightview Communities</v>
      </c>
      <c r="C7" s="18">
        <f>IFERROR(COUNTIFS('🏁 Milestones'!$D$5:$D$504,"Discovery",'🏁 Milestones'!$B$5:$B$504,$B7,'🏁 Milestones'!$G$5:$G$504,"Complete")/COUNTIFS('🏁 Milestones'!$D$5:$D$504,"Discovery",'🏁 Milestones'!$B$5:$B$504,$B7),"")</f>
        <v>1</v>
      </c>
      <c r="D7" s="18" t="str">
        <f>IFERROR(COUNTIFS('🏁 Milestones'!$D$5:$D$504,"Configuration",'🏁 Milestones'!$B$5:$B$504,$B7,'🏁 Milestones'!$G$5:$G$504,"Complete")/COUNTIFS('🏁 Milestones'!$D$5:$D$504,"Configuration",'🏁 Milestones'!$B$5:$B$504,$B7),"")</f>
        <v/>
      </c>
      <c r="E7" s="18">
        <f>IFERROR(COUNTIFS('🏁 Milestones'!$D$5:$D$504,"Data Migration",'🏁 Milestones'!$B$5:$B$504,$B7,'🏁 Milestones'!$G$5:$G$504,"Complete")/COUNTIFS('🏁 Milestones'!$D$5:$D$504,"Data Migration",'🏁 Milestones'!$B$5:$B$504,$B7),"")</f>
        <v>0</v>
      </c>
      <c r="F7" s="18" t="str">
        <f>IFERROR(COUNTIFS('🏁 Milestones'!$D$5:$D$504,"Training",'🏁 Milestones'!$B$5:$B$504,$B7,'🏁 Milestones'!$G$5:$G$504,"Complete")/COUNTIFS('🏁 Milestones'!$D$5:$D$504,"Training",'🏁 Milestones'!$B$5:$B$504,$B7),"")</f>
        <v/>
      </c>
      <c r="G7" s="18" t="str">
        <f>IFERROR(COUNTIFS('🏁 Milestones'!$D$5:$D$504,"UAT",'🏁 Milestones'!$B$5:$B$504,$B7,'🏁 Milestones'!$G$5:$G$504,"Complete")/COUNTIFS('🏁 Milestones'!$D$5:$D$504,"UAT",'🏁 Milestones'!$B$5:$B$504,$B7),"")</f>
        <v/>
      </c>
      <c r="H7" s="18" t="str">
        <f>IFERROR(COUNTIFS('🏁 Milestones'!$D$5:$D$504,"Go-Live",'🏁 Milestones'!$B$5:$B$504,$B7,'🏁 Milestones'!$G$5:$G$504,"Complete")/COUNTIFS('🏁 Milestones'!$D$5:$D$504,"Go-Live",'🏁 Milestones'!$B$5:$B$504,$B7),"")</f>
        <v/>
      </c>
      <c r="I7" s="30">
        <f>IFERROR(COUNTIFS('🏁 Milestones'!$B$5:$B$504,$B7,'🏁 Milestones'!$G$5:$G$504,"Complete")/COUNTIF('🏁 Milestones'!$B$5:$B$504,$B7),"")</f>
        <v>0.5</v>
      </c>
    </row>
    <row r="8" ht="19.5" customHeight="1">
      <c r="B8" s="11" t="str">
        <f>'🗂 Customers'!B6</f>
        <v>Atria Senior Living</v>
      </c>
      <c r="C8" s="14">
        <f>IFERROR(COUNTIFS('🏁 Milestones'!$D$5:$D$504,"Discovery",'🏁 Milestones'!$B$5:$B$504,$B8,'🏁 Milestones'!$G$5:$G$504,"Complete")/COUNTIFS('🏁 Milestones'!$D$5:$D$504,"Discovery",'🏁 Milestones'!$B$5:$B$504,$B8),"")</f>
        <v>1</v>
      </c>
      <c r="D8" s="14">
        <f>IFERROR(COUNTIFS('🏁 Milestones'!$D$5:$D$504,"Configuration",'🏁 Milestones'!$B$5:$B$504,$B8,'🏁 Milestones'!$G$5:$G$504,"Complete")/COUNTIFS('🏁 Milestones'!$D$5:$D$504,"Configuration",'🏁 Milestones'!$B$5:$B$504,$B8),"")</f>
        <v>1</v>
      </c>
      <c r="E8" s="14">
        <f>IFERROR(COUNTIFS('🏁 Milestones'!$D$5:$D$504,"Data Migration",'🏁 Milestones'!$B$5:$B$504,$B8,'🏁 Milestones'!$G$5:$G$504,"Complete")/COUNTIFS('🏁 Milestones'!$D$5:$D$504,"Data Migration",'🏁 Milestones'!$B$5:$B$504,$B8),"")</f>
        <v>1</v>
      </c>
      <c r="F8" s="14">
        <f>IFERROR(COUNTIFS('🏁 Milestones'!$D$5:$D$504,"Training",'🏁 Milestones'!$B$5:$B$504,$B8,'🏁 Milestones'!$G$5:$G$504,"Complete")/COUNTIFS('🏁 Milestones'!$D$5:$D$504,"Training",'🏁 Milestones'!$B$5:$B$504,$B8),"")</f>
        <v>0</v>
      </c>
      <c r="G8" s="14" t="str">
        <f>IFERROR(COUNTIFS('🏁 Milestones'!$D$5:$D$504,"UAT",'🏁 Milestones'!$B$5:$B$504,$B8,'🏁 Milestones'!$G$5:$G$504,"Complete")/COUNTIFS('🏁 Milestones'!$D$5:$D$504,"UAT",'🏁 Milestones'!$B$5:$B$504,$B8),"")</f>
        <v/>
      </c>
      <c r="H8" s="14" t="str">
        <f>IFERROR(COUNTIFS('🏁 Milestones'!$D$5:$D$504,"Go-Live",'🏁 Milestones'!$B$5:$B$504,$B8,'🏁 Milestones'!$G$5:$G$504,"Complete")/COUNTIFS('🏁 Milestones'!$D$5:$D$504,"Go-Live",'🏁 Milestones'!$B$5:$B$504,$B8),"")</f>
        <v/>
      </c>
      <c r="I8" s="30">
        <f>IFERROR(COUNTIFS('🏁 Milestones'!$B$5:$B$504,$B8,'🏁 Milestones'!$G$5:$G$504,"Complete")/COUNTIF('🏁 Milestones'!$B$5:$B$504,$B8),"")</f>
        <v>0.75</v>
      </c>
    </row>
    <row r="9" ht="19.5" customHeight="1">
      <c r="B9" s="15" t="str">
        <f>'🗂 Customers'!B7</f>
        <v>Brookdale Senior</v>
      </c>
      <c r="C9" s="18">
        <f>IFERROR(COUNTIFS('🏁 Milestones'!$D$5:$D$504,"Discovery",'🏁 Milestones'!$B$5:$B$504,$B9,'🏁 Milestones'!$G$5:$G$504,"Complete")/COUNTIFS('🏁 Milestones'!$D$5:$D$504,"Discovery",'🏁 Milestones'!$B$5:$B$504,$B9),"")</f>
        <v>0.5</v>
      </c>
      <c r="D9" s="18" t="str">
        <f>IFERROR(COUNTIFS('🏁 Milestones'!$D$5:$D$504,"Configuration",'🏁 Milestones'!$B$5:$B$504,$B9,'🏁 Milestones'!$G$5:$G$504,"Complete")/COUNTIFS('🏁 Milestones'!$D$5:$D$504,"Configuration",'🏁 Milestones'!$B$5:$B$504,$B9),"")</f>
        <v/>
      </c>
      <c r="E9" s="18" t="str">
        <f>IFERROR(COUNTIFS('🏁 Milestones'!$D$5:$D$504,"Data Migration",'🏁 Milestones'!$B$5:$B$504,$B9,'🏁 Milestones'!$G$5:$G$504,"Complete")/COUNTIFS('🏁 Milestones'!$D$5:$D$504,"Data Migration",'🏁 Milestones'!$B$5:$B$504,$B9),"")</f>
        <v/>
      </c>
      <c r="F9" s="18" t="str">
        <f>IFERROR(COUNTIFS('🏁 Milestones'!$D$5:$D$504,"Training",'🏁 Milestones'!$B$5:$B$504,$B9,'🏁 Milestones'!$G$5:$G$504,"Complete")/COUNTIFS('🏁 Milestones'!$D$5:$D$504,"Training",'🏁 Milestones'!$B$5:$B$504,$B9),"")</f>
        <v/>
      </c>
      <c r="G9" s="18" t="str">
        <f>IFERROR(COUNTIFS('🏁 Milestones'!$D$5:$D$504,"UAT",'🏁 Milestones'!$B$5:$B$504,$B9,'🏁 Milestones'!$G$5:$G$504,"Complete")/COUNTIFS('🏁 Milestones'!$D$5:$D$504,"UAT",'🏁 Milestones'!$B$5:$B$504,$B9),"")</f>
        <v/>
      </c>
      <c r="H9" s="18" t="str">
        <f>IFERROR(COUNTIFS('🏁 Milestones'!$D$5:$D$504,"Go-Live",'🏁 Milestones'!$B$5:$B$504,$B9,'🏁 Milestones'!$G$5:$G$504,"Complete")/COUNTIFS('🏁 Milestones'!$D$5:$D$504,"Go-Live",'🏁 Milestones'!$B$5:$B$504,$B9),"")</f>
        <v/>
      </c>
      <c r="I9" s="30">
        <f>IFERROR(COUNTIFS('🏁 Milestones'!$B$5:$B$504,$B9,'🏁 Milestones'!$G$5:$G$504,"Complete")/COUNTIF('🏁 Milestones'!$B$5:$B$504,$B9),"")</f>
        <v>0.5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J2"/>
    <mergeCell ref="B3:J3"/>
  </mergeCells>
  <conditionalFormatting sqref="C6:H9">
    <cfRule type="colorScale" priority="1">
      <colorScale>
        <cfvo type="formula" val="0"/>
        <cfvo type="formula" val="0.5"/>
        <cfvo type="formula" val="1"/>
        <color rgb="FFFCE4D6"/>
        <color rgb="FFFFF2CC"/>
        <color rgb="FFE2EFDA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A6A6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60.0"/>
    <col customWidth="1" min="4" max="4" width="2.0"/>
    <col customWidth="1" min="5" max="26" width="8.71"/>
  </cols>
  <sheetData>
    <row r="2" ht="36.0" customHeight="1">
      <c r="B2" s="31" t="s">
        <v>115</v>
      </c>
    </row>
    <row r="3" ht="15.75" customHeight="1">
      <c r="B3" s="2" t="s">
        <v>116</v>
      </c>
    </row>
    <row r="5" ht="19.5" customHeight="1">
      <c r="B5" s="8" t="s">
        <v>117</v>
      </c>
      <c r="C5" s="4"/>
    </row>
    <row r="6" ht="19.5" customHeight="1">
      <c r="B6" s="32" t="s">
        <v>118</v>
      </c>
      <c r="C6" s="20" t="s">
        <v>119</v>
      </c>
    </row>
    <row r="7" ht="19.5" customHeight="1">
      <c r="B7" s="32" t="s">
        <v>120</v>
      </c>
      <c r="C7" s="20" t="s">
        <v>121</v>
      </c>
    </row>
    <row r="8" ht="19.5" customHeight="1">
      <c r="B8" s="32" t="s">
        <v>122</v>
      </c>
      <c r="C8" s="20" t="s">
        <v>123</v>
      </c>
    </row>
    <row r="9" ht="19.5" customHeight="1">
      <c r="B9" s="32" t="s">
        <v>124</v>
      </c>
      <c r="C9" s="33" t="s">
        <v>125</v>
      </c>
    </row>
    <row r="11" ht="19.5" customHeight="1">
      <c r="B11" s="8" t="s">
        <v>126</v>
      </c>
      <c r="C11" s="4"/>
    </row>
    <row r="12" ht="19.5" customHeight="1">
      <c r="B12" s="34" t="s">
        <v>127</v>
      </c>
      <c r="C12" s="20" t="s">
        <v>128</v>
      </c>
    </row>
    <row r="13" ht="19.5" customHeight="1">
      <c r="B13" s="34" t="s">
        <v>129</v>
      </c>
      <c r="C13" s="20" t="s">
        <v>130</v>
      </c>
    </row>
    <row r="14" ht="19.5" customHeight="1">
      <c r="B14" s="34" t="s">
        <v>131</v>
      </c>
      <c r="C14" s="20" t="s">
        <v>132</v>
      </c>
    </row>
    <row r="15" ht="19.5" customHeight="1">
      <c r="B15" s="34" t="s">
        <v>133</v>
      </c>
      <c r="C15" s="20" t="s">
        <v>134</v>
      </c>
    </row>
    <row r="16" ht="19.5" customHeight="1">
      <c r="B16" s="34" t="s">
        <v>135</v>
      </c>
      <c r="C16" s="20" t="s">
        <v>136</v>
      </c>
    </row>
    <row r="18" ht="19.5" customHeight="1">
      <c r="B18" s="8" t="s">
        <v>137</v>
      </c>
      <c r="C18" s="4"/>
    </row>
    <row r="19" ht="19.5" customHeight="1">
      <c r="B19" s="32" t="s">
        <v>138</v>
      </c>
      <c r="C19" s="20" t="s">
        <v>139</v>
      </c>
    </row>
    <row r="20" ht="19.5" customHeight="1">
      <c r="B20" s="32" t="s">
        <v>140</v>
      </c>
      <c r="C20" s="20" t="s">
        <v>141</v>
      </c>
    </row>
    <row r="21" ht="19.5" customHeight="1">
      <c r="B21" s="32" t="s">
        <v>142</v>
      </c>
      <c r="C21" s="20" t="s">
        <v>143</v>
      </c>
    </row>
    <row r="22" ht="19.5" customHeight="1">
      <c r="B22" s="32" t="s">
        <v>144</v>
      </c>
      <c r="C22" s="20" t="s">
        <v>145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C2"/>
    <mergeCell ref="B3:C3"/>
    <mergeCell ref="B5:C5"/>
    <mergeCell ref="B11:C11"/>
    <mergeCell ref="B18:C18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2026-04-22T06:23:20Z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